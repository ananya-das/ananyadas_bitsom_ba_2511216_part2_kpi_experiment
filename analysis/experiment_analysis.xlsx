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a8007c647b4d44d/Documents/part2_kpi_experiment/analysis/"/>
    </mc:Choice>
  </mc:AlternateContent>
  <xr:revisionPtr revIDLastSave="465" documentId="11_D602B4585656587DE324B9AB0124F10CA92E5EBC" xr6:coauthVersionLast="47" xr6:coauthVersionMax="47" xr10:uidLastSave="{B1C5F396-7114-4534-9F8D-58E38F82A089}"/>
  <bookViews>
    <workbookView xWindow="-108" yWindow="-108" windowWidth="23256" windowHeight="12456" xr2:uid="{00000000-000D-0000-FFFF-FFFF00000000}"/>
  </bookViews>
  <sheets>
    <sheet name="experiment_data" sheetId="1" r:id="rId1"/>
    <sheet name="Data_Cleaning_Summary" sheetId="3" r:id="rId2"/>
    <sheet name="Hypothesis_Test" sheetId="4" r:id="rId3"/>
    <sheet name="GuardRail Metric" sheetId="7" r:id="rId4"/>
    <sheet name="business_context" sheetId="2" r:id="rId5"/>
  </sheets>
  <definedNames>
    <definedName name="_xlnm._FilterDatabase" localSheetId="0" hidden="1">experiment_data!$N$1:$N$1401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7" l="1"/>
  <c r="C6" i="7"/>
  <c r="C5" i="7"/>
  <c r="C4" i="7"/>
  <c r="C3" i="7"/>
  <c r="B7" i="7"/>
  <c r="B6" i="7"/>
  <c r="B5" i="7"/>
  <c r="B4" i="7"/>
  <c r="B3" i="7"/>
  <c r="B3" i="4" l="1"/>
  <c r="C4" i="4"/>
  <c r="B4" i="4"/>
  <c r="C3" i="4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W5" i="1"/>
  <c r="W4" i="1"/>
  <c r="B23" i="3"/>
  <c r="B22" i="3"/>
  <c r="B21" i="3"/>
  <c r="B20" i="3"/>
  <c r="B19" i="3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2" i="1"/>
  <c r="B10" i="3"/>
  <c r="B11" i="3"/>
  <c r="B6" i="3"/>
  <c r="B5" i="3"/>
  <c r="B8" i="4" l="1"/>
  <c r="B12" i="4" s="1"/>
  <c r="B5" i="4"/>
  <c r="C5" i="4"/>
  <c r="W6" i="1"/>
  <c r="W7" i="1" s="1"/>
  <c r="E12" i="4" l="1"/>
  <c r="B17" i="4" s="1"/>
  <c r="E18" i="4" s="1"/>
  <c r="W8" i="1"/>
  <c r="R2" i="1" s="1"/>
  <c r="B27" i="3" s="1"/>
  <c r="B4" i="3"/>
</calcChain>
</file>

<file path=xl/sharedStrings.xml><?xml version="1.0" encoding="utf-8"?>
<sst xmlns="http://schemas.openxmlformats.org/spreadsheetml/2006/main" count="8557" uniqueCount="1508">
  <si>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</si>
  <si>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</si>
  <si>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</si>
  <si>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</si>
  <si>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</si>
  <si>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</si>
  <si>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</si>
  <si>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</si>
  <si>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</si>
  <si>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</si>
  <si>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</si>
  <si>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</si>
  <si>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</si>
  <si>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</si>
  <si>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</si>
  <si>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</si>
  <si>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</si>
  <si>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</si>
  <si>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</si>
  <si>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</si>
  <si>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</si>
  <si>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</si>
  <si>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</si>
  <si>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</si>
  <si>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</si>
  <si>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</si>
  <si>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</si>
  <si>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</si>
  <si>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</si>
  <si>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</si>
  <si>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</si>
  <si>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</si>
  <si>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</si>
  <si>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</si>
  <si>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</si>
  <si>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</si>
  <si>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</si>
  <si>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</si>
  <si>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</si>
  <si>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</si>
  <si>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</si>
  <si>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</si>
  <si>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</si>
  <si>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</si>
  <si>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</si>
  <si>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</si>
  <si>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</si>
  <si>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</si>
  <si>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</si>
  <si>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</si>
  <si>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</si>
  <si>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</si>
  <si>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</si>
  <si>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</si>
  <si>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</si>
  <si>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</si>
  <si>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</si>
  <si>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</si>
  <si>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</si>
  <si>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</si>
  <si>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</si>
  <si>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</si>
  <si>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</si>
  <si>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</si>
  <si>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</si>
  <si>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</si>
  <si>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</si>
  <si>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</si>
  <si>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</si>
  <si>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</si>
  <si>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</si>
  <si>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</si>
  <si>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</si>
  <si>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</si>
  <si>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</si>
  <si>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</si>
  <si>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</si>
  <si>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</si>
  <si>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</si>
  <si>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</si>
  <si>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</si>
  <si>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</si>
  <si>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</si>
  <si>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</si>
  <si>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</si>
  <si>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</si>
  <si>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</si>
  <si>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</si>
  <si>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</si>
  <si>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</si>
  <si>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</si>
  <si>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</si>
  <si>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</si>
  <si>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</si>
  <si>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</si>
  <si>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</si>
  <si>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</si>
  <si>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</si>
  <si>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</si>
  <si>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</si>
  <si>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</si>
  <si>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</si>
  <si>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</si>
  <si>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</si>
  <si>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</si>
  <si>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</si>
  <si>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</si>
  <si>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</si>
  <si>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</si>
  <si>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</si>
  <si>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</si>
  <si>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</si>
  <si>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</si>
  <si>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</si>
  <si>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</si>
  <si>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</si>
  <si>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</si>
  <si>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</si>
  <si>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</si>
  <si>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</si>
  <si>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</si>
  <si>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</si>
  <si>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</si>
  <si>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</si>
  <si>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</si>
  <si>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</si>
  <si>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</si>
  <si>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</si>
  <si>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</si>
  <si>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</si>
  <si>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</si>
  <si>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</si>
  <si>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</si>
  <si>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</si>
  <si>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</si>
  <si>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</si>
  <si>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</si>
  <si>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</si>
  <si>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</si>
  <si>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</si>
  <si>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</si>
  <si>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</si>
  <si>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</si>
  <si>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</si>
  <si>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</si>
  <si>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</si>
  <si>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</si>
  <si>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</si>
  <si>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</si>
  <si>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</si>
  <si>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</si>
  <si>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</si>
  <si>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</si>
  <si>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</si>
  <si>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</si>
  <si>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</si>
  <si>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</si>
  <si>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</si>
  <si>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</si>
  <si>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</si>
  <si>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</si>
  <si>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</si>
  <si>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</si>
  <si>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</si>
  <si>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</si>
  <si>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</si>
  <si>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</si>
  <si>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</si>
  <si>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</si>
  <si>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</si>
  <si>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</si>
  <si>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</si>
  <si>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</si>
  <si>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</si>
  <si>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</si>
  <si>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</si>
  <si>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</si>
  <si>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</si>
  <si>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</si>
  <si>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</si>
  <si>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</si>
  <si>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</si>
  <si>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</si>
  <si>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</si>
  <si>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</si>
  <si>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</si>
  <si>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</si>
  <si>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</si>
  <si>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</si>
  <si>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</si>
  <si>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</si>
  <si>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</si>
  <si>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</si>
  <si>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</si>
  <si>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</si>
  <si>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</si>
  <si>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</si>
  <si>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</si>
  <si>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</si>
  <si>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</si>
  <si>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</si>
  <si>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</si>
  <si>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</si>
  <si>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</si>
  <si>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</si>
  <si>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</si>
  <si>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</si>
  <si>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</si>
  <si>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</si>
  <si>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</si>
  <si>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</si>
  <si>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</si>
  <si>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</si>
  <si>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</si>
  <si>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</si>
  <si>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</si>
  <si>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</si>
  <si>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</si>
  <si>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</si>
  <si>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</si>
  <si>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</si>
  <si>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</si>
  <si>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</si>
  <si>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</si>
  <si>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</si>
  <si>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</si>
  <si>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</si>
  <si>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</si>
  <si>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</si>
  <si>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</si>
  <si>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</si>
  <si>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</si>
  <si>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</si>
  <si>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</si>
  <si>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</si>
  <si>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</si>
  <si>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</si>
  <si>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</si>
  <si>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</si>
  <si>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</si>
  <si>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</si>
  <si>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</si>
  <si>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</si>
  <si>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</si>
  <si>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</si>
  <si>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</si>
  <si>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</si>
  <si>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</si>
  <si>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</si>
  <si>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</si>
  <si>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</si>
  <si>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</si>
  <si>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</si>
  <si>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</si>
  <si>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</si>
  <si>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</si>
  <si>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</si>
  <si>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</si>
  <si>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</si>
  <si>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</si>
  <si>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</si>
  <si>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</si>
  <si>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</si>
  <si>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</si>
  <si>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</si>
  <si>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</si>
  <si>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</si>
  <si>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</si>
  <si>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</si>
  <si>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</si>
  <si>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</si>
  <si>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</si>
  <si>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</si>
  <si>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</si>
  <si>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</si>
  <si>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</si>
  <si>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</si>
  <si>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</si>
  <si>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</si>
  <si>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</si>
  <si>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</si>
  <si>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</si>
  <si>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</si>
  <si>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</si>
  <si>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</si>
  <si>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</si>
  <si>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</si>
  <si>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</si>
  <si>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</si>
  <si>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</si>
  <si>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</si>
  <si>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</si>
  <si>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</si>
  <si>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</si>
  <si>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</si>
  <si>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</si>
  <si>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</si>
  <si>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</si>
  <si>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</si>
  <si>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</si>
  <si>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</si>
  <si>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</si>
  <si>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</si>
  <si>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</si>
  <si>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</si>
  <si>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</si>
  <si>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</si>
  <si>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</si>
  <si>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</si>
  <si>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</si>
  <si>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</si>
  <si>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</si>
  <si>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</si>
  <si>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</si>
  <si>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</si>
  <si>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</si>
  <si>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</si>
  <si>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</si>
  <si>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</si>
  <si>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</si>
  <si>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</si>
  <si>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</si>
  <si>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</si>
  <si>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</si>
  <si>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</si>
  <si>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</si>
  <si>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</si>
  <si>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</si>
  <si>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</si>
  <si>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</si>
  <si>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</si>
  <si>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</si>
  <si>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</si>
  <si>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</si>
  <si>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</si>
  <si>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</si>
  <si>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</si>
  <si>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</si>
  <si>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</si>
  <si>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</si>
  <si>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</si>
  <si>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</si>
  <si>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</si>
  <si>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</si>
  <si>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</si>
  <si>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</si>
  <si>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</si>
  <si>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</si>
  <si>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</si>
  <si>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</si>
  <si>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</si>
  <si>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</si>
  <si>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</si>
  <si>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</si>
  <si>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</si>
  <si>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</si>
  <si>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</si>
  <si>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</si>
  <si>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</si>
  <si>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</si>
  <si>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</si>
  <si>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</si>
  <si>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</si>
  <si>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</si>
  <si>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</si>
  <si>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</si>
  <si>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</si>
  <si>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</si>
  <si>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</si>
  <si>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</si>
  <si>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</si>
  <si>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</si>
  <si>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</si>
  <si>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</si>
  <si>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</si>
  <si>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</si>
  <si>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</si>
  <si>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</si>
  <si>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</si>
  <si>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</si>
  <si>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</si>
  <si>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</si>
  <si>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</si>
  <si>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</si>
  <si>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</si>
  <si>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</si>
  <si>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</si>
  <si>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</si>
  <si>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</si>
  <si>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</si>
  <si>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</si>
  <si>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</si>
  <si>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</si>
  <si>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</si>
  <si>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</si>
  <si>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</si>
  <si>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</si>
  <si>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</si>
  <si>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</si>
  <si>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</si>
  <si>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</si>
  <si>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</si>
  <si>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</si>
  <si>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</si>
  <si>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</si>
  <si>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</si>
  <si>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</si>
  <si>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</si>
  <si>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</si>
  <si>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</si>
  <si>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</si>
  <si>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</si>
  <si>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</si>
  <si>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</si>
  <si>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</si>
  <si>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</si>
  <si>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</si>
  <si>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</si>
  <si>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</si>
  <si>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</si>
  <si>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</si>
  <si>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</si>
  <si>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</si>
  <si>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</si>
  <si>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</si>
  <si>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</si>
  <si>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</si>
  <si>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</si>
  <si>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</si>
  <si>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</si>
  <si>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</si>
  <si>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</si>
  <si>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</si>
  <si>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</si>
  <si>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</si>
  <si>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</si>
  <si>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</si>
  <si>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</si>
  <si>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</si>
  <si>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</si>
  <si>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</si>
  <si>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</si>
  <si>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</si>
  <si>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</si>
  <si>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</si>
  <si>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</si>
  <si>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</si>
  <si>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</si>
  <si>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</si>
  <si>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</si>
  <si>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</si>
  <si>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</si>
  <si>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</si>
  <si>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</si>
  <si>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</si>
  <si>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</si>
  <si>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</si>
  <si>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</si>
  <si>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</si>
  <si>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</si>
  <si>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</si>
  <si>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</si>
  <si>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</si>
  <si>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</si>
  <si>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</si>
  <si>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</si>
  <si>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</si>
  <si>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</si>
  <si>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</si>
  <si>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</si>
  <si>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</si>
  <si>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</si>
  <si>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</si>
  <si>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</si>
  <si>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</si>
  <si>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</si>
  <si>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</si>
  <si>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</si>
  <si>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</si>
  <si>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</si>
  <si>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</si>
  <si>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</si>
  <si>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</si>
  <si>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</si>
  <si>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</si>
  <si>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</si>
  <si>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</si>
  <si>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</si>
  <si>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</si>
  <si>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</si>
  <si>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</si>
  <si>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</si>
  <si>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</si>
  <si>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</si>
  <si>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</si>
  <si>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</si>
  <si>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</si>
  <si>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</si>
  <si>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</si>
  <si>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</si>
  <si>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</si>
  <si>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</si>
  <si>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</si>
  <si>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</si>
  <si>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</si>
  <si>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</si>
  <si>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</si>
  <si>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</si>
  <si>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</si>
  <si>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</si>
  <si>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</si>
  <si>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</si>
  <si>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</si>
  <si>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</si>
  <si>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</si>
  <si>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</si>
  <si>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</si>
  <si>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</si>
  <si>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</si>
  <si>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</si>
  <si>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</si>
  <si>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</si>
  <si>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</si>
  <si>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</si>
  <si>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</si>
  <si>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</si>
  <si>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</si>
  <si>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</si>
  <si>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</si>
  <si>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</si>
  <si>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</si>
  <si>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</si>
  <si>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</si>
  <si>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</si>
  <si>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</si>
  <si>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</si>
  <si>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</si>
  <si>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</si>
  <si>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</si>
  <si>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</si>
  <si>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</si>
  <si>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</si>
  <si>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</si>
  <si>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</si>
  <si>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</si>
  <si>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</si>
  <si>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</si>
  <si>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</si>
  <si>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</si>
  <si>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</si>
  <si>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</si>
  <si>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</si>
  <si>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</si>
  <si>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</si>
  <si>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</si>
  <si>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</si>
  <si>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</si>
  <si>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</si>
  <si>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</si>
  <si>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</si>
  <si>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</si>
  <si>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</si>
  <si>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</si>
  <si>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</si>
  <si>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</si>
  <si>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</si>
  <si>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</si>
  <si>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</si>
  <si>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</si>
  <si>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</si>
  <si>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</si>
  <si>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</si>
  <si>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</si>
  <si>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</si>
  <si>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</si>
  <si>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</si>
  <si>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</si>
  <si>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</si>
  <si>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</si>
  <si>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</si>
  <si>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</si>
  <si>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</si>
  <si>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</si>
  <si>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</si>
  <si>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</si>
  <si>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</si>
  <si>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</si>
  <si>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</si>
  <si>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</si>
  <si>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</si>
  <si>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</si>
  <si>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</si>
  <si>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</si>
  <si>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</si>
  <si>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</si>
  <si>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</si>
  <si>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</si>
  <si>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</si>
  <si>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</si>
  <si>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</si>
  <si>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</si>
  <si>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</si>
  <si>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</si>
  <si>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</si>
  <si>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</si>
  <si>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</si>
  <si>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</si>
  <si>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</si>
  <si>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</si>
  <si>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</si>
  <si>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</si>
  <si>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</si>
  <si>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</si>
  <si>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</si>
  <si>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</si>
  <si>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</si>
  <si>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</si>
  <si>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</si>
  <si>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</si>
  <si>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</si>
  <si>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</si>
  <si>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</si>
  <si>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</si>
  <si>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</si>
  <si>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</si>
  <si>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</si>
  <si>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</si>
  <si>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</si>
  <si>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</si>
  <si>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</si>
  <si>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</si>
  <si>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</si>
  <si>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</si>
  <si>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</si>
  <si>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</si>
  <si>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</si>
  <si>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</si>
  <si>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</si>
  <si>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</si>
  <si>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</si>
  <si>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</si>
  <si>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</si>
  <si>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</si>
  <si>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</si>
  <si>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</si>
  <si>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</si>
  <si>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</si>
  <si>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</si>
  <si>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</si>
  <si>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</si>
  <si>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</si>
  <si>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</si>
  <si>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</si>
  <si>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</si>
  <si>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</si>
  <si>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</si>
  <si>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</si>
  <si>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</si>
  <si>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</si>
  <si>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</si>
  <si>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</si>
  <si>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</si>
  <si>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</si>
  <si>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</si>
  <si>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</si>
  <si>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</si>
  <si>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</si>
  <si>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</si>
  <si>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</si>
  <si>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</si>
  <si>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</si>
  <si>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</si>
  <si>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</si>
  <si>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</si>
  <si>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</si>
  <si>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</si>
  <si>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</si>
  <si>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</si>
  <si>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</si>
  <si>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</si>
  <si>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</si>
  <si>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</si>
  <si>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</si>
  <si>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</si>
  <si>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</si>
  <si>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</si>
  <si>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</si>
  <si>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</si>
  <si>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</si>
  <si>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</si>
  <si>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</si>
  <si>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</si>
  <si>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</si>
  <si>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</si>
  <si>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</si>
  <si>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</si>
  <si>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</si>
  <si>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</si>
  <si>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</si>
  <si>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</si>
  <si>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</si>
  <si>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</si>
  <si>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</si>
  <si>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</si>
  <si>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</si>
  <si>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</si>
  <si>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</si>
  <si>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</si>
  <si>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</si>
  <si>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</si>
  <si>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</si>
  <si>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</si>
  <si>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</si>
  <si>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</si>
  <si>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</si>
  <si>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</si>
  <si>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</si>
  <si>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</si>
  <si>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</si>
  <si>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</si>
  <si>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</si>
  <si>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</si>
  <si>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</si>
  <si>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</si>
  <si>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</si>
  <si>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</si>
  <si>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</si>
  <si>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</si>
  <si>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</si>
  <si>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</si>
  <si>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</si>
  <si>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</si>
  <si>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</si>
  <si>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</si>
  <si>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</si>
  <si>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</si>
  <si>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</si>
  <si>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</si>
  <si>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</si>
  <si>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</si>
  <si>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</si>
  <si>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</si>
  <si>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</si>
  <si>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</si>
  <si>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</si>
  <si>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</si>
  <si>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</si>
  <si>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</si>
  <si>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</si>
  <si>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</si>
  <si>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</si>
  <si>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</si>
  <si>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</si>
  <si>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</si>
  <si>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</si>
  <si>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</si>
  <si>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</si>
  <si>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</si>
  <si>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</si>
  <si>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</si>
  <si>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</si>
  <si>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</si>
  <si>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</si>
  <si>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</si>
  <si>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</si>
  <si>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</si>
  <si>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</si>
  <si>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</si>
  <si>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</si>
  <si>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</si>
  <si>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</si>
  <si>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</si>
  <si>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</si>
  <si>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</si>
  <si>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</si>
  <si>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</si>
  <si>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</si>
  <si>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</si>
  <si>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</si>
  <si>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</si>
  <si>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</si>
  <si>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</si>
  <si>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</si>
  <si>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</si>
  <si>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</si>
  <si>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</si>
  <si>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</si>
  <si>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</si>
  <si>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</si>
  <si>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</si>
  <si>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</si>
  <si>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</si>
  <si>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</si>
  <si>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</si>
  <si>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</si>
  <si>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</si>
  <si>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</si>
  <si>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</si>
  <si>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</si>
  <si>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</si>
  <si>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</si>
  <si>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</si>
  <si>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</si>
  <si>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</si>
  <si>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</si>
  <si>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</si>
  <si>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</si>
  <si>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</si>
  <si>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</si>
  <si>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</si>
  <si>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</si>
  <si>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</si>
  <si>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</si>
  <si>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</si>
  <si>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</si>
  <si>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</si>
  <si>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</si>
  <si>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</si>
  <si>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</si>
  <si>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</si>
  <si>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</si>
  <si>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</si>
  <si>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</si>
  <si>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</si>
  <si>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</si>
  <si>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</si>
  <si>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</si>
  <si>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</si>
  <si>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</si>
  <si>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</si>
  <si>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</si>
  <si>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</si>
  <si>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</si>
  <si>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</si>
  <si>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</si>
  <si>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</si>
  <si>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</si>
  <si>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</si>
  <si>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</si>
  <si>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</si>
  <si>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</si>
  <si>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</si>
  <si>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</si>
  <si>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</si>
  <si>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</si>
  <si>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</si>
  <si>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</si>
  <si>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</si>
  <si>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</si>
  <si>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</si>
  <si>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</si>
  <si>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</si>
  <si>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</si>
  <si>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</si>
  <si>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</si>
  <si>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</si>
  <si>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</si>
  <si>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</si>
  <si>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</si>
  <si>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</si>
  <si>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</si>
  <si>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</si>
  <si>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</si>
  <si>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</si>
  <si>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</si>
  <si>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</si>
  <si>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</si>
  <si>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</si>
  <si>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</si>
  <si>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</si>
  <si>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</si>
  <si>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</si>
  <si>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</si>
  <si>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</si>
  <si>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</si>
  <si>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</si>
  <si>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</si>
  <si>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</si>
  <si>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</si>
  <si>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</si>
  <si>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</si>
  <si>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</si>
  <si>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</si>
  <si>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</si>
  <si>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</si>
  <si>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</si>
  <si>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</si>
  <si>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</si>
  <si>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</si>
  <si>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</si>
  <si>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</si>
  <si>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</si>
  <si>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</si>
  <si>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</si>
  <si>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</si>
  <si>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</si>
  <si>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</si>
  <si>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</si>
  <si>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</si>
  <si>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</si>
  <si>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</si>
  <si>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</si>
  <si>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</si>
  <si>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</si>
  <si>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</si>
  <si>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</si>
  <si>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</si>
  <si>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</si>
  <si>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</si>
  <si>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</si>
  <si>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</si>
  <si>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</si>
  <si>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</si>
  <si>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</si>
  <si>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</si>
  <si>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</si>
  <si>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</si>
  <si>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</si>
  <si>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</si>
  <si>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</si>
  <si>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</si>
  <si>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</si>
  <si>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</si>
  <si>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</si>
  <si>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</si>
  <si>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</si>
  <si>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</si>
  <si>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</si>
  <si>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</si>
  <si>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</si>
  <si>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</si>
  <si>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</si>
  <si>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</si>
  <si>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</si>
  <si>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</si>
  <si>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</si>
  <si>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</si>
  <si>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</si>
  <si>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</si>
  <si>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</si>
  <si>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</si>
  <si>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</si>
  <si>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</si>
  <si>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</si>
  <si>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</si>
  <si>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</si>
  <si>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</si>
  <si>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</si>
  <si>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</si>
  <si>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</si>
  <si>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</si>
  <si>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</si>
  <si>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</si>
  <si>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</si>
  <si>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</si>
  <si>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</si>
  <si>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</si>
  <si>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</si>
  <si>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</si>
  <si>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</si>
  <si>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</si>
  <si>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</si>
  <si>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</si>
  <si>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</si>
  <si>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</si>
  <si>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</si>
  <si>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</si>
  <si>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</si>
  <si>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</si>
  <si>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</si>
  <si>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</si>
  <si>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</si>
  <si>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</si>
  <si>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</si>
  <si>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</si>
  <si>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</si>
  <si>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</si>
  <si>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</si>
  <si>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</si>
  <si>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</si>
  <si>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</si>
  <si>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</si>
  <si>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</si>
  <si>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</si>
  <si>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</si>
  <si>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</si>
  <si>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</si>
  <si>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</si>
  <si>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</si>
  <si>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</si>
  <si>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</si>
  <si>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</si>
  <si>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</si>
  <si>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</si>
  <si>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</si>
  <si>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</si>
  <si>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</si>
  <si>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</si>
  <si>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</si>
  <si>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</si>
  <si>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</si>
  <si>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</si>
  <si>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</si>
  <si>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</si>
  <si>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</si>
  <si>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</si>
  <si>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</si>
  <si>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</si>
  <si>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</si>
  <si>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</si>
  <si>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</si>
  <si>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</si>
  <si>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</si>
  <si>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</si>
  <si>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</si>
  <si>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</si>
  <si>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</si>
  <si>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</si>
  <si>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</si>
  <si>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</si>
  <si>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</si>
  <si>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</si>
  <si>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</si>
  <si>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</si>
  <si>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</si>
  <si>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</si>
  <si>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</si>
  <si>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</si>
  <si>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</si>
  <si>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</si>
  <si>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</si>
  <si>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</si>
  <si>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</si>
  <si>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</si>
  <si>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</si>
  <si>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</si>
  <si>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</si>
  <si>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</si>
  <si>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</si>
  <si>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</si>
  <si>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</si>
  <si>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</si>
  <si>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</si>
  <si>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</si>
  <si>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</si>
  <si>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</si>
  <si>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</si>
  <si>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</si>
  <si>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</si>
  <si>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</si>
  <si>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</si>
  <si>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</si>
  <si>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</si>
  <si>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</si>
  <si>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</si>
  <si>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</si>
  <si>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</si>
  <si>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</si>
  <si>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</si>
  <si>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</si>
  <si>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</si>
  <si>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</si>
  <si>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</si>
  <si>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</si>
  <si>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</si>
  <si>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</si>
  <si>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</si>
  <si>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</si>
  <si>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</si>
  <si>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</si>
  <si>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</si>
  <si>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</si>
  <si>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</si>
  <si>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</si>
  <si>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</si>
  <si>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</si>
  <si>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</si>
  <si>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</si>
  <si>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</si>
  <si>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</si>
  <si>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</si>
  <si>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</si>
  <si>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</si>
  <si>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</si>
  <si>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</si>
  <si>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</si>
  <si>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</si>
  <si>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</si>
  <si>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</si>
  <si>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</si>
  <si>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</si>
  <si>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</si>
  <si>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</si>
  <si>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</si>
  <si>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</si>
  <si>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</si>
  <si>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</si>
  <si>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</si>
  <si>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</si>
  <si>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</si>
  <si>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</si>
  <si>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</si>
  <si>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</si>
  <si>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</si>
  <si>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</si>
  <si>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</si>
  <si>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</si>
  <si>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</si>
  <si>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</si>
  <si>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</si>
  <si>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</si>
  <si>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</si>
  <si>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</si>
  <si>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</si>
  <si>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</si>
  <si>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</si>
  <si>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</si>
  <si>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</si>
  <si>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</si>
  <si>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</si>
  <si>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</si>
  <si>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</si>
  <si>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</si>
  <si>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</si>
  <si>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</si>
  <si>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</si>
  <si>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</si>
  <si>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</si>
  <si>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</si>
  <si>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</si>
  <si>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</si>
  <si>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</si>
  <si>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</si>
  <si>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</si>
  <si>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</si>
  <si>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</si>
  <si>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</si>
  <si>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</si>
  <si>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</si>
  <si>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</si>
  <si>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</si>
  <si>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</si>
  <si>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</si>
  <si>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</si>
  <si>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</si>
  <si>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</si>
  <si>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</si>
  <si>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</si>
  <si>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</si>
  <si>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</si>
  <si>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</si>
  <si>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</si>
  <si>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</si>
  <si>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</si>
  <si>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</si>
  <si>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</si>
  <si>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</si>
  <si>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</si>
  <si>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</si>
  <si>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</si>
  <si>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</si>
  <si>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</si>
  <si>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</si>
  <si>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</si>
  <si>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</si>
  <si>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</si>
  <si>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</si>
  <si>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</si>
  <si>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</si>
  <si>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</si>
  <si>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</si>
  <si>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</si>
  <si>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</si>
  <si>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</si>
  <si>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</si>
  <si>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</si>
  <si>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</si>
  <si>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</si>
  <si>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</si>
  <si>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</si>
  <si>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</si>
  <si>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</si>
  <si>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</si>
  <si>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</si>
  <si>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</si>
  <si>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</si>
  <si>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</si>
  <si>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</si>
  <si>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</si>
  <si>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</si>
  <si>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</si>
  <si>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</si>
  <si>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</si>
  <si>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</si>
  <si>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</si>
  <si>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</si>
  <si>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</si>
  <si>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</si>
  <si>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</si>
  <si>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</si>
  <si>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</si>
  <si>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</si>
  <si>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</si>
  <si>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</si>
  <si>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</si>
  <si>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</si>
  <si>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</si>
  <si>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</si>
  <si>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</si>
  <si>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</si>
  <si>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</si>
  <si>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</si>
  <si>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</si>
  <si>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</si>
  <si>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</si>
  <si>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</si>
  <si>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</si>
  <si>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</si>
  <si>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</si>
  <si>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</si>
  <si>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</si>
  <si>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</si>
  <si>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</si>
  <si>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</si>
  <si>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</si>
  <si>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</si>
  <si>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</si>
  <si>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</si>
  <si>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</si>
  <si>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</si>
  <si>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</si>
  <si>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</si>
  <si>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</si>
  <si>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</si>
  <si>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</si>
  <si>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</si>
  <si>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</si>
  <si>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</si>
  <si>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</si>
  <si>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</si>
  <si>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</si>
  <si>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</si>
  <si>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</si>
  <si>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</si>
  <si>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</si>
  <si>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</si>
  <si>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</si>
  <si>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</si>
  <si>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</si>
  <si>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</si>
  <si>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</si>
  <si>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</si>
  <si>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</si>
  <si>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</si>
  <si>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</si>
  <si>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</si>
  <si>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</si>
  <si>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</si>
  <si>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</si>
  <si>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</si>
  <si>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</si>
  <si>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</si>
  <si>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</si>
  <si>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</si>
  <si>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</si>
  <si>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</si>
  <si>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</si>
  <si>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</si>
  <si>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</si>
  <si>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</si>
  <si>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</si>
  <si>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</si>
  <si>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</si>
  <si>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</si>
  <si>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</si>
  <si>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</si>
  <si>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</si>
  <si>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</si>
  <si>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</si>
  <si>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</si>
  <si>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</si>
  <si>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</si>
  <si>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</si>
  <si>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</si>
  <si>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</si>
  <si>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</si>
  <si>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</si>
  <si>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</si>
  <si>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</si>
  <si>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</si>
  <si>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</si>
  <si>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</si>
  <si>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</si>
  <si>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</si>
  <si>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</si>
  <si>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</si>
  <si>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</si>
  <si>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</si>
  <si>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</si>
  <si>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</si>
  <si>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</si>
  <si>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</si>
  <si>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</si>
  <si>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</si>
  <si>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</si>
  <si>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</si>
  <si>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</si>
  <si>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</si>
  <si>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</si>
  <si>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</si>
  <si>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</si>
  <si>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</si>
  <si>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</si>
  <si>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</si>
  <si>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</si>
  <si>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</si>
  <si>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</si>
  <si>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</si>
  <si>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</si>
  <si>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</si>
  <si>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</si>
  <si>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</si>
  <si>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</si>
  <si>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</si>
  <si>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</si>
  <si>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</si>
  <si>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</si>
  <si>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</si>
  <si>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</si>
  <si>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</si>
  <si>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</si>
  <si>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</si>
  <si>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</si>
  <si>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</si>
  <si>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</si>
  <si>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</si>
  <si>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</si>
  <si>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</si>
  <si>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</si>
  <si>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</si>
  <si>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</si>
  <si>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</si>
  <si>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</si>
  <si>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</si>
  <si>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</si>
  <si>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</si>
  <si>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</si>
  <si>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</si>
  <si>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</si>
  <si>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</si>
  <si>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</si>
  <si>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</si>
  <si>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</si>
  <si>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</si>
  <si>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</si>
  <si>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</si>
  <si>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</si>
  <si>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</si>
  <si>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</si>
  <si>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</si>
  <si>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</si>
  <si>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</si>
  <si>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</si>
  <si>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</si>
  <si>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</si>
  <si>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</si>
  <si>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</si>
  <si>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</si>
  <si>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</si>
  <si>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</si>
  <si>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</si>
  <si>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</si>
  <si>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</si>
  <si>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</si>
  <si>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</si>
  <si>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</si>
  <si>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</si>
  <si>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</si>
  <si>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</si>
  <si>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</si>
  <si>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</si>
  <si>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</si>
  <si>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</si>
  <si>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</si>
  <si>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</si>
  <si>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</si>
  <si>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</si>
  <si>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</si>
  <si>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</si>
  <si>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</si>
  <si>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</si>
  <si>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</si>
  <si>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</si>
  <si>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</si>
  <si>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</si>
  <si>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</si>
  <si>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</si>
  <si>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</si>
  <si>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</si>
  <si>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</si>
  <si>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</si>
  <si>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</si>
  <si>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</si>
  <si>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</si>
  <si>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</si>
  <si>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</si>
  <si>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</si>
  <si>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</si>
  <si>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</si>
  <si>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</si>
  <si>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</si>
  <si>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</si>
  <si>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</si>
  <si>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</si>
  <si>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</si>
  <si>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</si>
  <si>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</si>
  <si>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</si>
  <si>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</si>
  <si>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</si>
  <si>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</si>
  <si>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</si>
  <si>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</si>
  <si>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</si>
  <si>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</si>
  <si>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</si>
  <si>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</si>
  <si>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</si>
  <si>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</si>
  <si>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</si>
  <si>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</si>
  <si>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</si>
  <si>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</si>
  <si>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</si>
  <si>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</si>
  <si>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</si>
  <si>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</si>
  <si>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</si>
  <si>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</si>
  <si>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</si>
  <si>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</si>
  <si>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</si>
  <si>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</si>
  <si>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</si>
  <si>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</si>
  <si>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</si>
  <si>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</si>
  <si>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</si>
  <si>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</si>
  <si>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</si>
  <si>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</si>
  <si>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Missing Values Summary</t>
  </si>
  <si>
    <t>Column</t>
  </si>
  <si>
    <t>Count</t>
  </si>
  <si>
    <t>Check Group Counts</t>
  </si>
  <si>
    <t>Control group</t>
  </si>
  <si>
    <t>Treatment group</t>
  </si>
  <si>
    <t>Check Duplicate User IDs</t>
  </si>
  <si>
    <t>User_id_Duplicates</t>
  </si>
  <si>
    <t>Validate Binary Columns</t>
  </si>
  <si>
    <t>Invalid Count</t>
  </si>
  <si>
    <t>Duplicate User ID's removed</t>
  </si>
  <si>
    <t>Outliers in revenue</t>
  </si>
  <si>
    <t>Calculate quartiles</t>
  </si>
  <si>
    <t>Q1</t>
  </si>
  <si>
    <t>Q3</t>
  </si>
  <si>
    <t>IQR</t>
  </si>
  <si>
    <t>Lower Bound</t>
  </si>
  <si>
    <t>Upper Bound</t>
  </si>
  <si>
    <t>Outlier/Normal</t>
  </si>
  <si>
    <t>No. of Outliers</t>
  </si>
  <si>
    <t>Segment distribution across groups</t>
  </si>
  <si>
    <t>Row Labels</t>
  </si>
  <si>
    <t>Grand Total</t>
  </si>
  <si>
    <t>Column Labels</t>
  </si>
  <si>
    <t>Count of user_id</t>
  </si>
  <si>
    <t>Region Distribution</t>
  </si>
  <si>
    <t>Device Type Distribution</t>
  </si>
  <si>
    <t>Traffice Type Distribution</t>
  </si>
  <si>
    <t>Unknown</t>
  </si>
  <si>
    <t>Action Taken</t>
  </si>
  <si>
    <t>Documented</t>
  </si>
  <si>
    <t>No Action</t>
  </si>
  <si>
    <t>Removed</t>
  </si>
  <si>
    <t>Retained</t>
  </si>
  <si>
    <t>Metric</t>
  </si>
  <si>
    <t>Total Users</t>
  </si>
  <si>
    <t>Converted Users</t>
  </si>
  <si>
    <t>Conversion Rate</t>
  </si>
  <si>
    <t>Calculate Standard Error</t>
  </si>
  <si>
    <t>Formula</t>
  </si>
  <si>
    <t>Value</t>
  </si>
  <si>
    <t xml:space="preserve"> '=SQRT(
PooledRate*(1-PooledRate)*
((1/ControlUsers)+(1/TreatmentUsers))
)'</t>
  </si>
  <si>
    <t>Pooled Conversion Rate:</t>
  </si>
  <si>
    <t>Hypothesis Testing Table</t>
  </si>
  <si>
    <t>Calculate Z Statistic</t>
  </si>
  <si>
    <t>=(TreatmentRate-ControlRate)/StandardError'</t>
  </si>
  <si>
    <t>Calculate P-value: One-Tailed Test</t>
  </si>
  <si>
    <t>=1-NORM.S.DIST(Z_Statistic,TRUE)'</t>
  </si>
  <si>
    <t>Apply Decision Rule</t>
  </si>
  <si>
    <t>∝</t>
  </si>
  <si>
    <t>Decision</t>
  </si>
  <si>
    <t>=IF(P_Value&lt;0.05,"Reject H0","Fail to Reject H0")'</t>
  </si>
  <si>
    <t>Refund Rate</t>
  </si>
  <si>
    <t>Support Ticket Rate</t>
  </si>
  <si>
    <t>Average Days to Convert</t>
  </si>
  <si>
    <t>Average Engagement Score</t>
  </si>
  <si>
    <t>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</si>
</sst>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/>
    <xf numFmtId="0" fontId="0" fillId="0" borderId="3" xfId="0" applyBorder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2" fillId="7" borderId="2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BHA" refreshedDate="46193.570104629631" createdVersion="8" refreshedVersion="8" minRefreshableVersion="3" recordCount="1401" xr:uid="{698CAA18-486F-4DC9-A402-6AD784F3CC3C}">
  <cacheSource type="worksheet">
    <worksheetSource ref="A1:R1048576" sheet="experiment_data"/>
  </cacheSource>
  <cacheFields count="18">
    <cacheField name="user_id" numFmtId="0">
      <sharedItems containsBlank="1"/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 count="5">
        <s v="North"/>
        <s v="West"/>
        <s v="East"/>
        <s v="South"/>
        <m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ntainsBlank="1"/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User_id_Duplicates" numFmtId="0">
      <sharedItems containsString="0" containsBlank="1" containsNumber="1" containsInteger="1" minValue="1" maxValue="1"/>
    </cacheField>
    <cacheField name="Outlier/Norm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BHA" refreshedDate="46193.581785416667" createdVersion="8" refreshedVersion="8" minRefreshableVersion="3" recordCount="1401" xr:uid="{E84D5C9A-FD32-4627-AA3B-E244C06F93A7}">
  <cacheSource type="worksheet">
    <worksheetSource ref="A1:Q1048576" sheet="experiment_data"/>
  </cacheSource>
  <cacheFields count="17">
    <cacheField name="user_id" numFmtId="0">
      <sharedItems containsBlank="1"/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/>
    </cacheField>
    <cacheField name="device_type" numFmtId="0">
      <sharedItems containsBlank="1" count="5">
        <s v="Desktop"/>
        <s v="Mobile"/>
        <s v="Tablet"/>
        <s v="Unknown"/>
        <m/>
      </sharedItems>
    </cacheField>
    <cacheField name="traffic_source" numFmtId="0">
      <sharedItems containsBlank="1" count="7">
        <s v="Email"/>
        <s v="Organic"/>
        <s v="Paid Search"/>
        <s v="Referral"/>
        <s v="Social"/>
        <s v="Unknown"/>
        <m/>
      </sharedItems>
    </cacheField>
    <cacheField name="plan_type" numFmtId="0">
      <sharedItems containsBlank="1"/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User_id_Duplicate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1">
  <r>
    <s v="USR-100001"/>
    <d v="2025-03-16T00:00:00"/>
    <x v="0"/>
    <x v="0"/>
    <x v="0"/>
    <x v="0"/>
    <s v="Basic"/>
    <n v="0"/>
    <n v="0"/>
    <n v="0"/>
    <n v="0"/>
    <n v="0"/>
    <n v="0"/>
    <n v="0"/>
    <m/>
    <n v="45.7"/>
    <n v="1"/>
    <s v="Normal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  <n v="1"/>
    <s v="Normal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  <n v="1"/>
    <s v="Normal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  <n v="1"/>
    <s v="Normal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  <n v="1"/>
    <s v="Normal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  <n v="1"/>
    <s v="Normal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  <n v="1"/>
    <s v="Normal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  <n v="1"/>
    <s v="Normal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  <n v="1"/>
    <s v="Normal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  <n v="1"/>
    <s v="Normal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  <n v="1"/>
    <s v="Normal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  <n v="1"/>
    <s v="Normal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  <n v="1"/>
    <s v="Normal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  <n v="1"/>
    <s v="Normal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  <n v="1"/>
    <s v="Normal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  <n v="1"/>
    <s v="Normal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  <n v="1"/>
    <s v="Normal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  <n v="1"/>
    <s v="Normal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  <n v="1"/>
    <s v="Normal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  <n v="1"/>
    <s v="Normal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  <n v="1"/>
    <s v="Normal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  <n v="1"/>
    <s v="Normal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  <n v="1"/>
    <s v="Normal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  <n v="1"/>
    <s v="Normal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  <n v="1"/>
    <s v="Normal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  <n v="1"/>
    <s v="Normal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  <n v="1"/>
    <s v="Normal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  <n v="1"/>
    <s v="Normal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  <n v="1"/>
    <s v="Normal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  <n v="1"/>
    <s v="Normal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  <n v="1"/>
    <s v="Normal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  <n v="1"/>
    <s v="Normal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  <n v="1"/>
    <s v="Normal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  <n v="1"/>
    <s v="Normal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  <n v="1"/>
    <s v="Normal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  <n v="1"/>
    <s v="Normal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  <n v="1"/>
    <s v="Normal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  <n v="1"/>
    <s v="Normal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  <n v="1"/>
    <s v="Normal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  <n v="1"/>
    <s v="Normal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  <n v="1"/>
    <s v="Normal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  <n v="1"/>
    <s v="Normal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  <n v="1"/>
    <s v="Normal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  <n v="1"/>
    <s v="Normal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  <n v="1"/>
    <s v="Normal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  <n v="1"/>
    <s v="Normal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  <n v="1"/>
    <s v="Normal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  <n v="1"/>
    <s v="Normal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  <n v="1"/>
    <s v="Normal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  <n v="1"/>
    <s v="Normal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  <n v="1"/>
    <s v="Normal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  <n v="1"/>
    <s v="Normal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  <n v="1"/>
    <s v="Normal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  <n v="1"/>
    <s v="Normal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  <n v="1"/>
    <s v="Normal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  <n v="1"/>
    <s v="Normal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  <n v="1"/>
    <s v="Normal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  <n v="1"/>
    <s v="Normal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  <n v="1"/>
    <s v="Normal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  <n v="1"/>
    <s v="Outlier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  <n v="1"/>
    <s v="Normal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  <n v="1"/>
    <s v="Normal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  <n v="1"/>
    <s v="Normal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  <n v="1"/>
    <s v="Normal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  <n v="1"/>
    <s v="Normal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  <n v="1"/>
    <s v="Normal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  <n v="1"/>
    <s v="Normal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  <n v="1"/>
    <s v="Normal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  <n v="1"/>
    <s v="Normal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  <n v="1"/>
    <s v="Normal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  <n v="1"/>
    <s v="Normal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  <n v="1"/>
    <s v="Normal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  <n v="1"/>
    <s v="Normal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  <n v="1"/>
    <s v="Normal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  <n v="1"/>
    <s v="Normal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  <n v="1"/>
    <s v="Normal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  <n v="1"/>
    <s v="Normal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  <n v="1"/>
    <s v="Normal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  <n v="1"/>
    <s v="Outlier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  <n v="1"/>
    <s v="Normal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  <n v="1"/>
    <s v="Normal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  <n v="1"/>
    <s v="Normal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  <n v="1"/>
    <s v="Normal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  <n v="1"/>
    <s v="Normal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  <n v="1"/>
    <s v="Normal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  <n v="1"/>
    <s v="Normal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  <n v="1"/>
    <s v="Normal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  <n v="1"/>
    <s v="Normal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  <n v="1"/>
    <s v="Normal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  <n v="1"/>
    <s v="Normal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  <n v="1"/>
    <s v="Normal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  <n v="1"/>
    <s v="Normal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  <n v="1"/>
    <s v="Normal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  <n v="1"/>
    <s v="Normal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  <n v="1"/>
    <s v="Normal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n v="1"/>
    <s v="Normal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  <n v="1"/>
    <s v="Normal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  <n v="1"/>
    <s v="Normal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  <n v="1"/>
    <s v="Outlier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  <n v="1"/>
    <s v="Normal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  <n v="1"/>
    <s v="Normal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  <n v="1"/>
    <s v="Normal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  <n v="1"/>
    <s v="Outlier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  <n v="1"/>
    <s v="Normal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  <n v="1"/>
    <s v="Normal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  <n v="1"/>
    <s v="Outlier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  <n v="1"/>
    <s v="Normal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  <n v="1"/>
    <s v="Normal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  <n v="1"/>
    <s v="Normal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  <n v="1"/>
    <s v="Normal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  <n v="1"/>
    <s v="Normal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  <n v="1"/>
    <s v="Normal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  <n v="1"/>
    <s v="Normal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  <n v="1"/>
    <s v="Normal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  <n v="1"/>
    <s v="Normal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  <n v="1"/>
    <s v="Normal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  <n v="1"/>
    <s v="Normal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  <n v="1"/>
    <s v="Normal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  <n v="1"/>
    <s v="Normal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  <n v="1"/>
    <s v="Normal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  <n v="1"/>
    <s v="Normal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  <n v="1"/>
    <s v="Normal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  <n v="1"/>
    <s v="Normal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  <n v="1"/>
    <s v="Normal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  <n v="1"/>
    <s v="Normal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  <n v="1"/>
    <s v="Normal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  <n v="1"/>
    <s v="Normal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  <n v="1"/>
    <s v="Normal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  <n v="1"/>
    <s v="Normal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  <n v="1"/>
    <s v="Normal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  <n v="1"/>
    <s v="Normal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  <n v="1"/>
    <s v="Normal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  <n v="1"/>
    <s v="Normal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  <n v="1"/>
    <s v="Normal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  <n v="1"/>
    <s v="Normal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  <n v="1"/>
    <s v="Normal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  <n v="1"/>
    <s v="Normal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  <n v="1"/>
    <s v="Normal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  <n v="1"/>
    <s v="Normal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  <n v="1"/>
    <s v="Normal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  <n v="1"/>
    <s v="Normal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  <n v="1"/>
    <s v="Outlier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  <n v="1"/>
    <s v="Normal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  <n v="1"/>
    <s v="Normal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  <n v="1"/>
    <s v="Normal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  <n v="1"/>
    <s v="Normal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  <n v="1"/>
    <s v="Normal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  <n v="1"/>
    <s v="Normal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  <n v="1"/>
    <s v="Outlier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  <n v="1"/>
    <s v="Normal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  <n v="1"/>
    <s v="Normal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  <n v="1"/>
    <s v="Normal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  <n v="1"/>
    <s v="Normal"/>
  </r>
  <r>
    <s v="USR-100154"/>
    <d v="2025-03-04T00:00:00"/>
    <x v="0"/>
    <x v="3"/>
    <x v="1"/>
    <x v="3"/>
    <s v="Free"/>
    <n v="1"/>
    <n v="1"/>
    <n v="0"/>
    <n v="0"/>
    <n v="0"/>
    <n v="0"/>
    <n v="0"/>
    <m/>
    <m/>
    <n v="1"/>
    <s v="Normal"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  <n v="1"/>
    <s v="Normal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  <n v="1"/>
    <s v="Normal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  <n v="1"/>
    <s v="Normal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  <n v="1"/>
    <s v="Normal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  <n v="1"/>
    <s v="Normal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  <n v="1"/>
    <s v="Normal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  <n v="1"/>
    <s v="Normal"/>
  </r>
  <r>
    <s v="USR-100162"/>
    <d v="2025-02-01T00:00:00"/>
    <x v="0"/>
    <x v="0"/>
    <x v="1"/>
    <x v="1"/>
    <s v="Free"/>
    <n v="0"/>
    <n v="0"/>
    <n v="0"/>
    <n v="0"/>
    <n v="0"/>
    <n v="0"/>
    <n v="0"/>
    <m/>
    <m/>
    <n v="1"/>
    <s v="Normal"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  <n v="1"/>
    <s v="Normal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  <n v="1"/>
    <s v="Normal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  <n v="1"/>
    <s v="Normal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  <n v="1"/>
    <s v="Outlier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  <n v="1"/>
    <s v="Normal"/>
  </r>
  <r>
    <s v="USR-100168"/>
    <d v="2025-03-06T00:00:00"/>
    <x v="0"/>
    <x v="3"/>
    <x v="1"/>
    <x v="2"/>
    <s v="Free"/>
    <n v="1"/>
    <n v="0"/>
    <n v="0"/>
    <n v="0"/>
    <n v="0"/>
    <n v="1"/>
    <n v="0"/>
    <m/>
    <m/>
    <n v="1"/>
    <s v="Normal"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  <n v="1"/>
    <s v="Normal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  <n v="1"/>
    <s v="Normal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  <n v="1"/>
    <s v="Normal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  <n v="1"/>
    <s v="Normal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  <n v="1"/>
    <s v="Normal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  <n v="1"/>
    <s v="Normal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  <n v="1"/>
    <s v="Normal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  <n v="1"/>
    <s v="Normal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  <n v="1"/>
    <s v="Normal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  <n v="1"/>
    <s v="Normal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  <n v="1"/>
    <s v="Normal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  <n v="1"/>
    <s v="Normal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  <n v="1"/>
    <s v="Normal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  <n v="1"/>
    <s v="Normal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  <n v="1"/>
    <s v="Normal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  <n v="1"/>
    <s v="Normal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  <n v="1"/>
    <s v="Normal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  <n v="1"/>
    <s v="Normal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  <n v="1"/>
    <s v="Normal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  <n v="1"/>
    <s v="Normal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  <n v="1"/>
    <s v="Normal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  <n v="1"/>
    <s v="Normal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  <n v="1"/>
    <s v="Normal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  <n v="1"/>
    <s v="Normal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  <n v="1"/>
    <s v="Normal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  <n v="1"/>
    <s v="Normal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  <n v="1"/>
    <s v="Normal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  <n v="1"/>
    <s v="Normal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  <n v="1"/>
    <s v="Outlier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  <n v="1"/>
    <s v="Normal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  <n v="1"/>
    <s v="Normal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  <n v="1"/>
    <s v="Normal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  <n v="1"/>
    <s v="Normal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  <n v="1"/>
    <s v="Normal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  <n v="1"/>
    <s v="Normal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  <n v="1"/>
    <s v="Normal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  <n v="1"/>
    <s v="Normal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  <n v="1"/>
    <s v="Normal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  <n v="1"/>
    <s v="Normal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  <n v="1"/>
    <s v="Normal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  <n v="1"/>
    <s v="Normal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  <n v="1"/>
    <s v="Normal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  <n v="1"/>
    <s v="Outlier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  <n v="1"/>
    <s v="Normal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  <n v="1"/>
    <s v="Normal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  <n v="1"/>
    <s v="Normal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  <n v="1"/>
    <s v="Normal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  <n v="1"/>
    <s v="Normal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  <n v="1"/>
    <s v="Normal"/>
  </r>
  <r>
    <s v="USR-100218"/>
    <d v="2025-02-25T00:00:00"/>
    <x v="0"/>
    <x v="0"/>
    <x v="2"/>
    <x v="4"/>
    <s v="Free"/>
    <n v="1"/>
    <n v="0"/>
    <n v="0"/>
    <n v="0"/>
    <n v="0"/>
    <n v="0"/>
    <n v="0"/>
    <m/>
    <m/>
    <n v="1"/>
    <s v="Normal"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  <n v="1"/>
    <s v="Normal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  <n v="1"/>
    <s v="Normal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  <n v="1"/>
    <s v="Normal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  <n v="1"/>
    <s v="Normal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  <n v="1"/>
    <s v="Normal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  <n v="1"/>
    <s v="Normal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  <n v="1"/>
    <s v="Normal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  <n v="1"/>
    <s v="Normal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  <n v="1"/>
    <s v="Normal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  <n v="1"/>
    <s v="Normal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  <n v="1"/>
    <s v="Normal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  <n v="1"/>
    <s v="Normal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  <n v="1"/>
    <s v="Normal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  <n v="1"/>
    <s v="Normal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  <n v="1"/>
    <s v="Normal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  <n v="1"/>
    <s v="Normal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  <n v="1"/>
    <s v="Normal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  <n v="1"/>
    <s v="Normal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  <n v="1"/>
    <s v="Normal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  <n v="1"/>
    <s v="Normal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  <n v="1"/>
    <s v="Normal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  <n v="1"/>
    <s v="Normal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  <n v="1"/>
    <s v="Normal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  <n v="1"/>
    <s v="Normal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  <n v="1"/>
    <s v="Normal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  <n v="1"/>
    <s v="Normal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  <n v="1"/>
    <s v="Normal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  <n v="1"/>
    <s v="Normal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  <n v="1"/>
    <s v="Normal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  <n v="1"/>
    <s v="Normal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  <n v="1"/>
    <s v="Normal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  <n v="1"/>
    <s v="Normal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  <n v="1"/>
    <s v="Outlier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  <n v="1"/>
    <s v="Normal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  <n v="1"/>
    <s v="Normal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  <n v="1"/>
    <s v="Normal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  <n v="1"/>
    <s v="Normal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  <n v="1"/>
    <s v="Normal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  <n v="1"/>
    <s v="Normal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  <n v="1"/>
    <s v="Normal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  <n v="1"/>
    <s v="Normal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  <n v="1"/>
    <s v="Normal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  <n v="1"/>
    <s v="Normal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  <n v="1"/>
    <s v="Normal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  <n v="1"/>
    <s v="Normal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  <n v="1"/>
    <s v="Normal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  <n v="1"/>
    <s v="Normal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  <n v="1"/>
    <s v="Normal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  <n v="1"/>
    <s v="Normal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  <n v="1"/>
    <s v="Normal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  <n v="1"/>
    <s v="Normal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  <n v="1"/>
    <s v="Normal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  <n v="1"/>
    <s v="Normal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  <n v="1"/>
    <s v="Normal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  <n v="1"/>
    <s v="Normal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  <n v="1"/>
    <s v="Normal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  <n v="1"/>
    <s v="Normal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  <n v="1"/>
    <s v="Normal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  <n v="1"/>
    <s v="Normal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  <n v="1"/>
    <s v="Normal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  <n v="1"/>
    <s v="Normal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  <n v="1"/>
    <s v="Normal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  <n v="1"/>
    <s v="Normal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  <n v="1"/>
    <s v="Normal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  <n v="1"/>
    <s v="Normal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  <n v="1"/>
    <s v="Normal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  <n v="1"/>
    <s v="Normal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  <n v="1"/>
    <s v="Normal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  <n v="1"/>
    <s v="Normal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  <n v="1"/>
    <s v="Normal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  <n v="1"/>
    <s v="Normal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  <n v="1"/>
    <s v="Normal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  <n v="1"/>
    <s v="Normal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  <n v="1"/>
    <s v="Normal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  <n v="1"/>
    <s v="Normal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  <n v="1"/>
    <s v="Normal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  <n v="1"/>
    <s v="Normal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  <n v="1"/>
    <s v="Normal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  <n v="1"/>
    <s v="Normal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  <n v="1"/>
    <s v="Normal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  <n v="1"/>
    <s v="Normal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  <n v="1"/>
    <s v="Outlier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  <n v="1"/>
    <s v="Normal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  <n v="1"/>
    <s v="Normal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  <n v="1"/>
    <s v="Outlier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  <n v="1"/>
    <s v="Normal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  <n v="1"/>
    <s v="Normal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  <n v="1"/>
    <s v="Normal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  <n v="1"/>
    <s v="Normal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  <n v="1"/>
    <s v="Outlier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  <n v="1"/>
    <s v="Normal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  <n v="1"/>
    <s v="Normal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  <n v="1"/>
    <s v="Normal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  <n v="1"/>
    <s v="Normal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  <n v="1"/>
    <s v="Normal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  <n v="1"/>
    <s v="Normal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  <n v="1"/>
    <s v="Normal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  <n v="1"/>
    <s v="Normal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  <n v="1"/>
    <s v="Normal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  <n v="1"/>
    <s v="Normal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  <n v="1"/>
    <s v="Normal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  <n v="1"/>
    <s v="Normal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  <n v="1"/>
    <s v="Normal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  <n v="1"/>
    <s v="Normal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  <n v="1"/>
    <s v="Normal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  <n v="1"/>
    <s v="Normal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  <n v="1"/>
    <s v="Normal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  <n v="1"/>
    <s v="Normal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  <n v="1"/>
    <s v="Normal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  <n v="1"/>
    <s v="Normal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  <n v="1"/>
    <s v="Normal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  <n v="1"/>
    <s v="Normal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  <n v="1"/>
    <s v="Outlier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  <n v="1"/>
    <s v="Normal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  <n v="1"/>
    <s v="Normal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  <n v="1"/>
    <s v="Normal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  <n v="1"/>
    <s v="Outlier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  <n v="1"/>
    <s v="Outlier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  <n v="1"/>
    <s v="Normal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  <n v="1"/>
    <s v="Normal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  <n v="1"/>
    <s v="Normal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  <n v="1"/>
    <s v="Normal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  <n v="1"/>
    <s v="Normal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  <n v="1"/>
    <s v="Normal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  <n v="1"/>
    <s v="Normal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  <n v="1"/>
    <s v="Normal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  <n v="1"/>
    <s v="Normal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  <n v="1"/>
    <s v="Normal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  <n v="1"/>
    <s v="Normal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  <n v="1"/>
    <s v="Normal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  <n v="1"/>
    <s v="Normal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  <n v="1"/>
    <s v="Normal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  <n v="1"/>
    <s v="Normal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  <n v="1"/>
    <s v="Normal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  <n v="1"/>
    <s v="Normal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  <n v="1"/>
    <s v="Normal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  <n v="1"/>
    <s v="Normal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  <n v="1"/>
    <s v="Normal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  <n v="1"/>
    <s v="Normal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  <n v="1"/>
    <s v="Normal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  <n v="1"/>
    <s v="Normal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  <n v="1"/>
    <s v="Normal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  <n v="1"/>
    <s v="Normal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  <n v="1"/>
    <s v="Normal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  <n v="1"/>
    <s v="Normal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  <n v="1"/>
    <s v="Normal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  <n v="1"/>
    <s v="Normal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  <n v="1"/>
    <s v="Normal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  <n v="1"/>
    <s v="Normal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  <n v="1"/>
    <s v="Normal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  <n v="1"/>
    <s v="Normal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  <n v="1"/>
    <s v="Normal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  <n v="1"/>
    <s v="Normal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  <n v="1"/>
    <s v="Normal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  <n v="1"/>
    <s v="Normal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  <n v="1"/>
    <s v="Normal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  <n v="1"/>
    <s v="Normal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  <n v="1"/>
    <s v="Normal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  <n v="1"/>
    <s v="Normal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  <n v="1"/>
    <s v="Normal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  <n v="1"/>
    <s v="Normal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  <n v="1"/>
    <s v="Normal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  <n v="1"/>
    <s v="Normal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  <n v="1"/>
    <s v="Normal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  <n v="1"/>
    <s v="Normal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  <n v="1"/>
    <s v="Normal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  <n v="1"/>
    <s v="Normal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  <n v="1"/>
    <s v="Normal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  <n v="1"/>
    <s v="Normal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  <n v="1"/>
    <s v="Normal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  <n v="1"/>
    <s v="Normal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  <n v="1"/>
    <s v="Normal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  <n v="1"/>
    <s v="Normal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  <n v="1"/>
    <s v="Normal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  <n v="1"/>
    <s v="Normal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  <n v="1"/>
    <s v="Normal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  <n v="1"/>
    <s v="Normal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  <n v="1"/>
    <s v="Normal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  <n v="1"/>
    <s v="Normal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  <n v="1"/>
    <s v="Normal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  <n v="1"/>
    <s v="Normal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  <n v="1"/>
    <s v="Normal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  <n v="1"/>
    <s v="Normal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  <n v="1"/>
    <s v="Normal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  <n v="1"/>
    <s v="Normal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  <n v="1"/>
    <s v="Normal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  <n v="1"/>
    <s v="Normal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  <n v="1"/>
    <s v="Normal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  <n v="1"/>
    <s v="Normal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  <n v="1"/>
    <s v="Normal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  <n v="1"/>
    <s v="Normal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  <n v="1"/>
    <s v="Normal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  <n v="1"/>
    <s v="Outlier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  <n v="1"/>
    <s v="Normal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  <n v="1"/>
    <s v="Normal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  <n v="1"/>
    <s v="Normal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  <n v="1"/>
    <s v="Normal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  <n v="1"/>
    <s v="Normal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  <n v="1"/>
    <s v="Normal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  <n v="1"/>
    <s v="Normal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  <n v="1"/>
    <s v="Normal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  <n v="1"/>
    <s v="Normal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  <n v="1"/>
    <s v="Normal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  <n v="1"/>
    <s v="Normal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  <n v="1"/>
    <s v="Normal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  <n v="1"/>
    <s v="Normal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  <n v="1"/>
    <s v="Normal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  <n v="1"/>
    <s v="Normal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  <n v="1"/>
    <s v="Normal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  <n v="1"/>
    <s v="Normal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  <n v="1"/>
    <s v="Normal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  <n v="1"/>
    <s v="Normal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  <n v="1"/>
    <s v="Normal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  <n v="1"/>
    <s v="Normal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n v="1"/>
    <s v="Normal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  <n v="1"/>
    <s v="Normal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  <n v="1"/>
    <s v="Normal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  <n v="1"/>
    <s v="Normal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  <n v="1"/>
    <s v="Normal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  <n v="1"/>
    <s v="Normal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  <n v="1"/>
    <s v="Normal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  <n v="1"/>
    <s v="Outlier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  <n v="1"/>
    <s v="Normal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  <n v="1"/>
    <s v="Normal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  <n v="1"/>
    <s v="Normal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  <n v="1"/>
    <s v="Normal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  <n v="1"/>
    <s v="Normal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  <n v="1"/>
    <s v="Normal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  <n v="1"/>
    <s v="Normal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  <n v="1"/>
    <s v="Normal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  <n v="1"/>
    <s v="Normal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  <n v="1"/>
    <s v="Normal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  <n v="1"/>
    <s v="Normal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  <n v="1"/>
    <s v="Normal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  <n v="1"/>
    <s v="Normal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  <n v="1"/>
    <s v="Normal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  <n v="1"/>
    <s v="Normal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  <n v="1"/>
    <s v="Normal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  <n v="1"/>
    <s v="Normal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  <n v="1"/>
    <s v="Normal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  <n v="1"/>
    <s v="Normal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  <n v="1"/>
    <s v="Normal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  <n v="1"/>
    <s v="Normal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  <n v="1"/>
    <s v="Normal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  <n v="1"/>
    <s v="Normal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  <n v="1"/>
    <s v="Normal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  <n v="1"/>
    <s v="Normal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  <n v="1"/>
    <s v="Normal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  <n v="1"/>
    <s v="Normal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  <n v="1"/>
    <s v="Normal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  <n v="1"/>
    <s v="Normal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  <n v="1"/>
    <s v="Normal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  <n v="1"/>
    <s v="Normal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  <n v="1"/>
    <s v="Normal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  <n v="1"/>
    <s v="Normal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  <n v="1"/>
    <s v="Normal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  <n v="1"/>
    <s v="Normal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  <n v="1"/>
    <s v="Normal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  <n v="1"/>
    <s v="Normal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  <n v="1"/>
    <s v="Normal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  <n v="1"/>
    <s v="Normal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  <n v="1"/>
    <s v="Normal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  <n v="1"/>
    <s v="Normal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  <n v="1"/>
    <s v="Normal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  <n v="1"/>
    <s v="Normal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  <n v="1"/>
    <s v="Normal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  <n v="1"/>
    <s v="Normal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  <n v="1"/>
    <s v="Normal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  <n v="1"/>
    <s v="Normal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  <n v="1"/>
    <s v="Normal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  <n v="1"/>
    <s v="Normal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  <n v="1"/>
    <s v="Normal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  <n v="1"/>
    <s v="Normal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  <n v="1"/>
    <s v="Normal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  <n v="1"/>
    <s v="Normal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  <n v="1"/>
    <s v="Normal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  <n v="1"/>
    <s v="Normal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  <n v="1"/>
    <s v="Normal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  <n v="1"/>
    <s v="Normal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  <n v="1"/>
    <s v="Normal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  <n v="1"/>
    <s v="Normal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  <n v="1"/>
    <s v="Normal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  <n v="1"/>
    <s v="Outlier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  <n v="1"/>
    <s v="Normal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  <n v="1"/>
    <s v="Normal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  <n v="1"/>
    <s v="Normal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  <n v="1"/>
    <s v="Normal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  <n v="1"/>
    <s v="Normal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  <n v="1"/>
    <s v="Normal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  <n v="1"/>
    <s v="Normal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  <n v="1"/>
    <s v="Normal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  <n v="1"/>
    <s v="Normal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  <n v="1"/>
    <s v="Normal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  <n v="1"/>
    <s v="Normal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  <n v="1"/>
    <s v="Normal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  <n v="1"/>
    <s v="Normal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  <n v="1"/>
    <s v="Normal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  <n v="1"/>
    <s v="Normal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  <n v="1"/>
    <s v="Normal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  <n v="1"/>
    <s v="Normal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  <n v="1"/>
    <s v="Normal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  <n v="1"/>
    <s v="Normal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  <n v="1"/>
    <s v="Normal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  <n v="1"/>
    <s v="Normal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  <n v="1"/>
    <s v="Normal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  <n v="1"/>
    <s v="Normal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  <n v="1"/>
    <s v="Normal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  <n v="1"/>
    <s v="Normal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  <n v="1"/>
    <s v="Normal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  <n v="1"/>
    <s v="Normal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  <n v="1"/>
    <s v="Normal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  <n v="1"/>
    <s v="Normal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  <n v="1"/>
    <s v="Normal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  <n v="1"/>
    <s v="Normal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  <n v="1"/>
    <s v="Normal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  <n v="1"/>
    <s v="Normal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  <n v="1"/>
    <s v="Normal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  <n v="1"/>
    <s v="Normal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  <n v="1"/>
    <s v="Normal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  <n v="1"/>
    <s v="Normal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  <n v="1"/>
    <s v="Normal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  <n v="1"/>
    <s v="Normal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n v="1"/>
    <s v="Normal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  <n v="1"/>
    <s v="Normal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  <n v="1"/>
    <s v="Normal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  <n v="1"/>
    <s v="Normal"/>
  </r>
  <r>
    <s v="USR-100545"/>
    <d v="2025-01-01T00:00:00"/>
    <x v="0"/>
    <x v="3"/>
    <x v="0"/>
    <x v="4"/>
    <s v="Basic"/>
    <n v="0"/>
    <n v="0"/>
    <n v="0"/>
    <n v="0"/>
    <n v="0"/>
    <n v="0"/>
    <n v="0"/>
    <m/>
    <m/>
    <n v="1"/>
    <s v="Normal"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  <n v="1"/>
    <s v="Normal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  <n v="1"/>
    <s v="Normal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  <n v="1"/>
    <s v="Normal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  <n v="1"/>
    <s v="Normal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  <n v="1"/>
    <s v="Normal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  <n v="1"/>
    <s v="Normal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  <n v="1"/>
    <s v="Normal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  <n v="1"/>
    <s v="Normal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  <n v="1"/>
    <s v="Normal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  <n v="1"/>
    <s v="Normal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  <n v="1"/>
    <s v="Normal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  <n v="1"/>
    <s v="Normal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  <n v="1"/>
    <s v="Normal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  <n v="1"/>
    <s v="Normal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  <n v="1"/>
    <s v="Normal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  <n v="1"/>
    <s v="Normal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  <n v="1"/>
    <s v="Normal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  <n v="1"/>
    <s v="Normal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  <n v="1"/>
    <s v="Normal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  <n v="1"/>
    <s v="Normal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  <n v="1"/>
    <s v="Normal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  <n v="1"/>
    <s v="Normal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  <n v="1"/>
    <s v="Normal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  <n v="1"/>
    <s v="Normal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  <n v="1"/>
    <s v="Normal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  <n v="1"/>
    <s v="Normal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  <n v="1"/>
    <s v="Normal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  <n v="1"/>
    <s v="Normal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  <n v="1"/>
    <s v="Normal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  <n v="1"/>
    <s v="Normal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  <n v="1"/>
    <s v="Normal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  <n v="1"/>
    <s v="Normal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  <n v="1"/>
    <s v="Normal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  <n v="1"/>
    <s v="Normal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  <n v="1"/>
    <s v="Normal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  <n v="1"/>
    <s v="Normal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  <n v="1"/>
    <s v="Normal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  <n v="1"/>
    <s v="Normal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  <n v="1"/>
    <s v="Normal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  <n v="1"/>
    <s v="Normal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  <n v="1"/>
    <s v="Normal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  <n v="1"/>
    <s v="Normal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  <n v="1"/>
    <s v="Normal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  <n v="1"/>
    <s v="Normal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  <n v="1"/>
    <s v="Normal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  <n v="1"/>
    <s v="Normal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  <n v="1"/>
    <s v="Normal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  <n v="1"/>
    <s v="Normal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  <n v="1"/>
    <s v="Outlier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  <n v="1"/>
    <s v="Normal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  <n v="1"/>
    <s v="Normal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  <n v="1"/>
    <s v="Normal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  <n v="1"/>
    <s v="Normal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  <n v="1"/>
    <s v="Normal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  <n v="1"/>
    <s v="Normal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  <n v="1"/>
    <s v="Normal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  <n v="1"/>
    <s v="Normal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  <n v="1"/>
    <s v="Normal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  <n v="1"/>
    <s v="Normal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  <n v="1"/>
    <s v="Normal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  <n v="1"/>
    <s v="Normal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  <n v="1"/>
    <s v="Normal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  <n v="1"/>
    <s v="Normal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  <n v="1"/>
    <s v="Normal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  <n v="1"/>
    <s v="Normal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  <n v="1"/>
    <s v="Normal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  <n v="1"/>
    <s v="Normal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  <n v="1"/>
    <s v="Normal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  <n v="1"/>
    <s v="Normal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  <n v="1"/>
    <s v="Normal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  <n v="1"/>
    <s v="Normal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  <n v="1"/>
    <s v="Normal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  <n v="1"/>
    <s v="Normal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  <n v="1"/>
    <s v="Normal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  <n v="1"/>
    <s v="Normal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  <n v="1"/>
    <s v="Normal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  <n v="1"/>
    <s v="Normal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  <n v="1"/>
    <s v="Normal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  <n v="1"/>
    <s v="Normal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  <n v="1"/>
    <s v="Normal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  <n v="1"/>
    <s v="Normal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  <n v="1"/>
    <s v="Normal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  <n v="1"/>
    <s v="Normal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  <n v="1"/>
    <s v="Normal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  <n v="1"/>
    <s v="Normal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  <n v="1"/>
    <s v="Normal"/>
  </r>
  <r>
    <s v="USR-100632"/>
    <d v="2025-03-16T00:00:00"/>
    <x v="0"/>
    <x v="0"/>
    <x v="1"/>
    <x v="4"/>
    <s v="Free"/>
    <n v="1"/>
    <n v="0"/>
    <n v="0"/>
    <n v="0"/>
    <n v="0"/>
    <n v="0"/>
    <n v="0"/>
    <m/>
    <m/>
    <n v="1"/>
    <s v="Normal"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  <n v="1"/>
    <s v="Normal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  <n v="1"/>
    <s v="Normal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  <n v="1"/>
    <s v="Normal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  <n v="1"/>
    <s v="Normal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  <n v="1"/>
    <s v="Normal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  <n v="1"/>
    <s v="Normal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  <n v="1"/>
    <s v="Normal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  <n v="1"/>
    <s v="Normal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  <n v="1"/>
    <s v="Normal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  <n v="1"/>
    <s v="Normal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  <n v="1"/>
    <s v="Normal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  <n v="1"/>
    <s v="Normal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  <n v="1"/>
    <s v="Normal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  <n v="1"/>
    <s v="Normal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  <n v="1"/>
    <s v="Normal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  <n v="1"/>
    <s v="Normal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  <n v="1"/>
    <s v="Normal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  <n v="1"/>
    <s v="Normal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  <n v="1"/>
    <s v="Normal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  <n v="1"/>
    <s v="Normal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  <n v="1"/>
    <s v="Normal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  <n v="1"/>
    <s v="Normal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  <n v="1"/>
    <s v="Normal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  <n v="1"/>
    <s v="Normal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  <n v="1"/>
    <s v="Normal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  <n v="1"/>
    <s v="Normal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  <n v="1"/>
    <s v="Normal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  <n v="1"/>
    <s v="Outlier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  <n v="1"/>
    <s v="Normal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  <n v="1"/>
    <s v="Normal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  <n v="1"/>
    <s v="Normal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  <n v="1"/>
    <s v="Normal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  <n v="1"/>
    <s v="Normal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  <n v="1"/>
    <s v="Normal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  <n v="1"/>
    <s v="Normal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  <n v="1"/>
    <s v="Normal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  <n v="1"/>
    <s v="Normal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  <n v="1"/>
    <s v="Normal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  <n v="1"/>
    <s v="Normal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  <n v="1"/>
    <s v="Normal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  <n v="1"/>
    <s v="Normal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  <n v="1"/>
    <s v="Normal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  <n v="1"/>
    <s v="Normal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  <n v="1"/>
    <s v="Normal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  <n v="1"/>
    <s v="Normal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  <n v="1"/>
    <s v="Normal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  <n v="1"/>
    <s v="Normal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  <n v="1"/>
    <s v="Normal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  <n v="1"/>
    <s v="Normal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  <n v="1"/>
    <s v="Normal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  <n v="1"/>
    <s v="Normal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  <n v="1"/>
    <s v="Normal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  <n v="1"/>
    <s v="Normal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  <n v="1"/>
    <s v="Normal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  <n v="1"/>
    <s v="Normal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  <n v="1"/>
    <s v="Normal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  <n v="1"/>
    <s v="Normal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  <n v="1"/>
    <s v="Normal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  <n v="1"/>
    <s v="Normal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  <n v="1"/>
    <s v="Normal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  <n v="1"/>
    <s v="Normal"/>
  </r>
  <r>
    <s v="USR-100694"/>
    <d v="2025-03-27T00:00:00"/>
    <x v="1"/>
    <x v="0"/>
    <x v="0"/>
    <x v="4"/>
    <s v="Free"/>
    <n v="1"/>
    <n v="0"/>
    <n v="0"/>
    <n v="0"/>
    <n v="0"/>
    <n v="0"/>
    <n v="0"/>
    <m/>
    <m/>
    <n v="1"/>
    <s v="Normal"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  <n v="1"/>
    <s v="Normal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  <n v="1"/>
    <s v="Normal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  <n v="1"/>
    <s v="Normal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  <n v="1"/>
    <s v="Normal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  <n v="1"/>
    <s v="Normal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  <n v="1"/>
    <s v="Normal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  <n v="1"/>
    <s v="Outlier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  <n v="1"/>
    <s v="Normal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  <n v="1"/>
    <s v="Normal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  <n v="1"/>
    <s v="Normal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  <n v="1"/>
    <s v="Normal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  <n v="1"/>
    <s v="Normal"/>
  </r>
  <r>
    <s v="USR-100707"/>
    <d v="2025-01-29T00:00:00"/>
    <x v="1"/>
    <x v="0"/>
    <x v="0"/>
    <x v="1"/>
    <s v="Basic"/>
    <n v="1"/>
    <n v="0"/>
    <n v="0"/>
    <n v="0"/>
    <n v="0"/>
    <n v="0"/>
    <n v="0"/>
    <m/>
    <m/>
    <n v="1"/>
    <s v="Normal"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  <n v="1"/>
    <s v="Normal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  <n v="1"/>
    <s v="Normal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  <n v="1"/>
    <s v="Normal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  <n v="1"/>
    <s v="Normal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  <n v="1"/>
    <s v="Normal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  <n v="1"/>
    <s v="Outlier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  <n v="1"/>
    <s v="Outlier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  <n v="1"/>
    <s v="Normal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  <n v="1"/>
    <s v="Normal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  <n v="1"/>
    <s v="Normal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  <n v="1"/>
    <s v="Normal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  <n v="1"/>
    <s v="Normal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  <n v="1"/>
    <s v="Normal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  <n v="1"/>
    <s v="Normal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  <n v="1"/>
    <s v="Normal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  <n v="1"/>
    <s v="Normal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  <n v="1"/>
    <s v="Normal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  <n v="1"/>
    <s v="Normal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  <n v="1"/>
    <s v="Normal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  <n v="1"/>
    <s v="Normal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  <n v="1"/>
    <s v="Outlier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  <n v="1"/>
    <s v="Normal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  <n v="1"/>
    <s v="Normal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  <n v="1"/>
    <s v="Normal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  <n v="1"/>
    <s v="Outlier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  <n v="1"/>
    <s v="Normal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  <n v="1"/>
    <s v="Normal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  <n v="1"/>
    <s v="Normal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  <n v="1"/>
    <s v="Normal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  <n v="1"/>
    <s v="Normal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  <n v="1"/>
    <s v="Normal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  <n v="1"/>
    <s v="Normal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  <n v="1"/>
    <s v="Normal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  <n v="1"/>
    <s v="Normal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  <n v="1"/>
    <s v="Normal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  <n v="1"/>
    <s v="Normal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  <n v="1"/>
    <s v="Normal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  <n v="1"/>
    <s v="Normal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  <n v="1"/>
    <s v="Normal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  <n v="1"/>
    <s v="Normal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  <n v="1"/>
    <s v="Normal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  <n v="1"/>
    <s v="Normal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  <n v="1"/>
    <s v="Normal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  <n v="1"/>
    <s v="Normal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  <n v="1"/>
    <s v="Normal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  <n v="1"/>
    <s v="Normal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  <n v="1"/>
    <s v="Normal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  <n v="1"/>
    <s v="Normal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  <n v="1"/>
    <s v="Normal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  <n v="1"/>
    <s v="Normal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  <n v="1"/>
    <s v="Outlier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  <n v="1"/>
    <s v="Normal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  <n v="1"/>
    <s v="Normal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  <n v="1"/>
    <s v="Normal"/>
  </r>
  <r>
    <s v="USR-100762"/>
    <d v="2025-03-26T00:00:00"/>
    <x v="1"/>
    <x v="3"/>
    <x v="1"/>
    <x v="2"/>
    <s v="Free"/>
    <n v="0"/>
    <n v="0"/>
    <n v="0"/>
    <n v="0"/>
    <n v="0"/>
    <n v="0"/>
    <n v="0"/>
    <m/>
    <m/>
    <n v="1"/>
    <s v="Normal"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  <n v="1"/>
    <s v="Normal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  <n v="1"/>
    <s v="Normal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  <n v="1"/>
    <s v="Normal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  <n v="1"/>
    <s v="Normal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  <n v="1"/>
    <s v="Normal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  <n v="1"/>
    <s v="Normal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  <n v="1"/>
    <s v="Normal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  <n v="1"/>
    <s v="Normal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  <n v="1"/>
    <s v="Normal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  <n v="1"/>
    <s v="Normal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  <n v="1"/>
    <s v="Normal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  <n v="1"/>
    <s v="Normal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  <n v="1"/>
    <s v="Normal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  <n v="1"/>
    <s v="Normal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  <n v="1"/>
    <s v="Normal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  <n v="1"/>
    <s v="Normal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  <n v="1"/>
    <s v="Normal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  <n v="1"/>
    <s v="Normal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  <n v="1"/>
    <s v="Normal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  <n v="1"/>
    <s v="Normal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  <n v="1"/>
    <s v="Normal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  <n v="1"/>
    <s v="Normal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  <n v="1"/>
    <s v="Normal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  <n v="1"/>
    <s v="Normal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  <n v="1"/>
    <s v="Normal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  <n v="1"/>
    <s v="Normal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  <n v="1"/>
    <s v="Normal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  <n v="1"/>
    <s v="Normal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  <n v="1"/>
    <s v="Normal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  <n v="1"/>
    <s v="Normal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  <n v="1"/>
    <s v="Normal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  <n v="1"/>
    <s v="Normal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  <n v="1"/>
    <s v="Normal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  <n v="1"/>
    <s v="Normal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  <n v="1"/>
    <s v="Normal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  <n v="1"/>
    <s v="Normal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  <n v="1"/>
    <s v="Normal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  <n v="1"/>
    <s v="Normal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  <n v="1"/>
    <s v="Normal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  <n v="1"/>
    <s v="Normal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  <n v="1"/>
    <s v="Normal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  <n v="1"/>
    <s v="Normal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  <n v="1"/>
    <s v="Outlier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  <n v="1"/>
    <s v="Normal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  <n v="1"/>
    <s v="Normal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  <n v="1"/>
    <s v="Normal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  <n v="1"/>
    <s v="Normal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  <n v="1"/>
    <s v="Normal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  <n v="1"/>
    <s v="Normal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  <n v="1"/>
    <s v="Normal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  <n v="1"/>
    <s v="Normal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  <n v="1"/>
    <s v="Outlier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  <n v="1"/>
    <s v="Normal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  <n v="1"/>
    <s v="Normal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  <n v="1"/>
    <s v="Normal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  <n v="1"/>
    <s v="Normal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  <n v="1"/>
    <s v="Outlier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  <n v="1"/>
    <s v="Normal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  <n v="1"/>
    <s v="Normal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  <n v="1"/>
    <s v="Normal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  <n v="1"/>
    <s v="Normal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  <n v="1"/>
    <s v="Normal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  <n v="1"/>
    <s v="Outlier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  <n v="1"/>
    <s v="Normal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  <n v="1"/>
    <s v="Normal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  <n v="1"/>
    <s v="Normal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  <n v="1"/>
    <s v="Normal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  <n v="1"/>
    <s v="Outlier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  <n v="1"/>
    <s v="Normal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  <n v="1"/>
    <s v="Normal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  <n v="1"/>
    <s v="Outlier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  <n v="1"/>
    <s v="Normal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  <n v="1"/>
    <s v="Normal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  <n v="1"/>
    <s v="Outlier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  <n v="1"/>
    <s v="Outlier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  <n v="1"/>
    <s v="Normal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  <n v="1"/>
    <s v="Normal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  <n v="1"/>
    <s v="Normal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  <n v="1"/>
    <s v="Normal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  <n v="1"/>
    <s v="Normal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  <n v="1"/>
    <s v="Normal"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  <n v="1"/>
    <s v="Normal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  <n v="1"/>
    <s v="Normal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  <n v="1"/>
    <s v="Normal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  <n v="1"/>
    <s v="Normal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  <n v="1"/>
    <s v="Normal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  <n v="1"/>
    <s v="Normal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  <n v="1"/>
    <s v="Normal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  <n v="1"/>
    <s v="Normal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  <n v="1"/>
    <s v="Normal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  <n v="1"/>
    <s v="Normal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  <n v="1"/>
    <s v="Normal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  <n v="1"/>
    <s v="Outlier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  <n v="1"/>
    <s v="Normal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  <n v="1"/>
    <s v="Normal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  <n v="1"/>
    <s v="Normal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  <n v="1"/>
    <s v="Outlier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  <n v="1"/>
    <s v="Normal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  <n v="1"/>
    <s v="Normal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  <n v="1"/>
    <s v="Normal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  <n v="1"/>
    <s v="Normal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  <n v="1"/>
    <s v="Normal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  <n v="1"/>
    <s v="Normal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  <n v="1"/>
    <s v="Normal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  <n v="1"/>
    <s v="Normal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  <n v="1"/>
    <s v="Normal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  <n v="1"/>
    <s v="Normal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  <n v="1"/>
    <s v="Normal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  <n v="1"/>
    <s v="Normal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  <n v="1"/>
    <s v="Normal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  <n v="1"/>
    <s v="Normal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  <n v="1"/>
    <s v="Normal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  <n v="1"/>
    <s v="Normal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  <n v="1"/>
    <s v="Normal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  <n v="1"/>
    <s v="Normal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  <n v="1"/>
    <s v="Normal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  <n v="1"/>
    <s v="Normal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  <n v="1"/>
    <s v="Normal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  <n v="1"/>
    <s v="Normal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  <n v="1"/>
    <s v="Normal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  <n v="1"/>
    <s v="Normal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  <n v="1"/>
    <s v="Normal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  <n v="1"/>
    <s v="Normal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  <n v="1"/>
    <s v="Normal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  <n v="1"/>
    <s v="Normal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  <n v="1"/>
    <s v="Normal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  <n v="1"/>
    <s v="Outlier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  <n v="1"/>
    <s v="Normal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  <n v="1"/>
    <s v="Normal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  <n v="1"/>
    <s v="Normal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  <n v="1"/>
    <s v="Normal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  <n v="1"/>
    <s v="Normal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  <n v="1"/>
    <s v="Normal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  <n v="1"/>
    <s v="Normal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  <n v="1"/>
    <s v="Normal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  <n v="1"/>
    <s v="Normal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  <n v="1"/>
    <s v="Normal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  <n v="1"/>
    <s v="Normal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  <n v="1"/>
    <s v="Normal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  <n v="1"/>
    <s v="Normal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  <n v="1"/>
    <s v="Normal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  <n v="1"/>
    <s v="Normal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  <n v="1"/>
    <s v="Outlier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  <n v="1"/>
    <s v="Normal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  <n v="1"/>
    <s v="Normal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  <n v="1"/>
    <s v="Normal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  <n v="1"/>
    <s v="Normal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  <n v="1"/>
    <s v="Normal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  <n v="1"/>
    <s v="Normal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  <n v="1"/>
    <s v="Normal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  <n v="1"/>
    <s v="Normal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  <n v="1"/>
    <s v="Normal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  <n v="1"/>
    <s v="Normal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  <n v="1"/>
    <s v="Normal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n v="1"/>
    <s v="Normal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  <n v="1"/>
    <s v="Normal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  <n v="1"/>
    <s v="Normal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  <n v="1"/>
    <s v="Normal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  <n v="1"/>
    <s v="Outlier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  <n v="1"/>
    <s v="Normal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  <n v="1"/>
    <s v="Normal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  <n v="1"/>
    <s v="Normal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  <n v="1"/>
    <s v="Normal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  <n v="1"/>
    <s v="Normal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  <n v="1"/>
    <s v="Normal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  <n v="1"/>
    <s v="Normal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  <n v="1"/>
    <s v="Normal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  <n v="1"/>
    <s v="Normal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  <n v="1"/>
    <s v="Outlier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  <n v="1"/>
    <s v="Normal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  <n v="1"/>
    <s v="Normal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  <n v="1"/>
    <s v="Normal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  <n v="1"/>
    <s v="Normal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  <n v="1"/>
    <s v="Normal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  <n v="1"/>
    <s v="Normal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  <n v="1"/>
    <s v="Normal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  <n v="1"/>
    <s v="Normal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  <n v="1"/>
    <s v="Normal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  <n v="1"/>
    <s v="Normal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  <n v="1"/>
    <s v="Normal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  <n v="1"/>
    <s v="Outlier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  <n v="1"/>
    <s v="Normal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  <n v="1"/>
    <s v="Normal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  <n v="1"/>
    <s v="Normal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  <n v="1"/>
    <s v="Normal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  <n v="1"/>
    <s v="Outlier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  <n v="1"/>
    <s v="Normal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  <n v="1"/>
    <s v="Normal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  <n v="1"/>
    <s v="Normal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  <n v="1"/>
    <s v="Normal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  <n v="1"/>
    <s v="Normal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  <n v="1"/>
    <s v="Normal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  <n v="1"/>
    <s v="Normal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  <n v="1"/>
    <s v="Normal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  <n v="1"/>
    <s v="Normal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  <n v="1"/>
    <s v="Normal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  <n v="1"/>
    <s v="Normal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  <n v="1"/>
    <s v="Normal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  <n v="1"/>
    <s v="Normal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  <n v="1"/>
    <s v="Normal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  <n v="1"/>
    <s v="Normal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  <n v="1"/>
    <s v="Normal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  <n v="1"/>
    <s v="Normal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  <n v="1"/>
    <s v="Normal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  <n v="1"/>
    <s v="Normal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  <n v="1"/>
    <s v="Normal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  <n v="1"/>
    <s v="Normal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  <n v="1"/>
    <s v="Normal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  <n v="1"/>
    <s v="Normal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  <n v="1"/>
    <s v="Normal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  <n v="1"/>
    <s v="Normal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  <n v="1"/>
    <s v="Normal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  <n v="1"/>
    <s v="Normal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  <n v="1"/>
    <s v="Normal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  <n v="1"/>
    <s v="Normal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  <n v="1"/>
    <s v="Normal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  <n v="1"/>
    <s v="Normal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  <n v="1"/>
    <s v="Normal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  <n v="1"/>
    <s v="Normal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  <n v="1"/>
    <s v="Normal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  <n v="1"/>
    <s v="Normal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  <n v="1"/>
    <s v="Normal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  <n v="1"/>
    <s v="Normal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  <n v="1"/>
    <s v="Normal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  <n v="1"/>
    <s v="Normal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  <n v="1"/>
    <s v="Normal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  <n v="1"/>
    <s v="Normal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  <n v="1"/>
    <s v="Normal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  <n v="1"/>
    <s v="Normal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  <n v="1"/>
    <s v="Normal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  <n v="1"/>
    <s v="Outlier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  <n v="1"/>
    <s v="Normal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  <n v="1"/>
    <s v="Normal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  <n v="1"/>
    <s v="Normal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  <n v="1"/>
    <s v="Outlier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  <n v="1"/>
    <s v="Normal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  <n v="1"/>
    <s v="Normal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  <n v="1"/>
    <s v="Normal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  <n v="1"/>
    <s v="Normal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  <n v="1"/>
    <s v="Normal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  <n v="1"/>
    <s v="Normal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  <n v="1"/>
    <s v="Normal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  <n v="1"/>
    <s v="Normal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  <n v="1"/>
    <s v="Normal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  <n v="1"/>
    <s v="Normal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  <n v="1"/>
    <s v="Normal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  <n v="1"/>
    <s v="Normal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  <n v="1"/>
    <s v="Normal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  <n v="1"/>
    <s v="Normal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  <n v="1"/>
    <s v="Outlier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  <n v="1"/>
    <s v="Normal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  <n v="1"/>
    <s v="Normal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  <n v="1"/>
    <s v="Normal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  <n v="1"/>
    <s v="Normal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  <n v="1"/>
    <s v="Normal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  <n v="1"/>
    <s v="Normal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  <n v="1"/>
    <s v="Normal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  <n v="1"/>
    <s v="Normal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  <n v="1"/>
    <s v="Normal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  <n v="1"/>
    <s v="Normal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  <n v="1"/>
    <s v="Normal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  <n v="1"/>
    <s v="Normal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  <n v="1"/>
    <s v="Outlier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  <n v="1"/>
    <s v="Normal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  <n v="1"/>
    <s v="Normal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  <n v="1"/>
    <s v="Normal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  <n v="1"/>
    <s v="Normal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  <n v="1"/>
    <s v="Normal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  <n v="1"/>
    <s v="Normal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  <n v="1"/>
    <s v="Normal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  <n v="1"/>
    <s v="Normal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  <n v="1"/>
    <s v="Normal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  <n v="1"/>
    <s v="Normal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  <n v="1"/>
    <s v="Normal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  <n v="1"/>
    <s v="Normal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  <n v="1"/>
    <s v="Normal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  <n v="1"/>
    <s v="Normal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  <n v="1"/>
    <s v="Normal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  <n v="1"/>
    <s v="Normal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  <n v="1"/>
    <s v="Normal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  <n v="1"/>
    <s v="Normal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  <n v="1"/>
    <s v="Normal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  <n v="1"/>
    <s v="Normal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  <n v="1"/>
    <s v="Normal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  <n v="1"/>
    <s v="Normal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  <n v="1"/>
    <s v="Normal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  <n v="1"/>
    <s v="Normal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  <n v="1"/>
    <s v="Normal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  <n v="1"/>
    <s v="Normal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  <n v="1"/>
    <s v="Normal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  <n v="1"/>
    <s v="Outlier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  <n v="1"/>
    <s v="Normal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  <n v="1"/>
    <s v="Normal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  <n v="1"/>
    <s v="Normal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  <n v="1"/>
    <s v="Normal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  <n v="1"/>
    <s v="Normal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n v="1"/>
    <s v="Normal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  <n v="1"/>
    <s v="Normal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  <n v="1"/>
    <s v="Normal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  <n v="1"/>
    <s v="Outlier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  <n v="1"/>
    <s v="Normal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  <n v="1"/>
    <s v="Normal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  <n v="1"/>
    <s v="Normal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  <n v="1"/>
    <s v="Normal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  <n v="1"/>
    <s v="Normal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  <n v="1"/>
    <s v="Normal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  <n v="1"/>
    <s v="Normal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  <n v="1"/>
    <s v="Normal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  <n v="1"/>
    <s v="Normal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  <n v="1"/>
    <s v="Normal"/>
  </r>
  <r>
    <s v="USR-101073"/>
    <d v="2025-05-22T00:00:00"/>
    <x v="1"/>
    <x v="2"/>
    <x v="1"/>
    <x v="3"/>
    <s v="Free"/>
    <n v="1"/>
    <n v="0"/>
    <n v="0"/>
    <n v="0"/>
    <n v="0"/>
    <n v="1"/>
    <n v="0"/>
    <m/>
    <m/>
    <n v="1"/>
    <s v="Normal"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  <n v="1"/>
    <s v="Outlier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  <n v="1"/>
    <s v="Normal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  <n v="1"/>
    <s v="Normal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  <n v="1"/>
    <s v="Outlier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  <n v="1"/>
    <s v="Outlier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  <n v="1"/>
    <s v="Normal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  <n v="1"/>
    <s v="Normal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  <n v="1"/>
    <s v="Normal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  <n v="1"/>
    <s v="Normal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  <n v="1"/>
    <s v="Normal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  <n v="1"/>
    <s v="Normal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  <n v="1"/>
    <s v="Normal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  <n v="1"/>
    <s v="Normal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  <n v="1"/>
    <s v="Normal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  <n v="1"/>
    <s v="Normal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  <n v="1"/>
    <s v="Normal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  <n v="1"/>
    <s v="Normal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  <n v="1"/>
    <s v="Normal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  <n v="1"/>
    <s v="Normal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  <n v="1"/>
    <s v="Normal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  <n v="1"/>
    <s v="Normal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  <n v="1"/>
    <s v="Normal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  <n v="1"/>
    <s v="Normal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  <n v="1"/>
    <s v="Normal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  <n v="1"/>
    <s v="Normal"/>
  </r>
  <r>
    <s v="USR-101099"/>
    <d v="2025-04-19T00:00:00"/>
    <x v="1"/>
    <x v="0"/>
    <x v="1"/>
    <x v="2"/>
    <s v="Basic"/>
    <n v="1"/>
    <n v="0"/>
    <n v="0"/>
    <n v="0"/>
    <n v="0"/>
    <n v="0"/>
    <n v="0"/>
    <m/>
    <m/>
    <n v="1"/>
    <s v="Normal"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  <n v="1"/>
    <s v="Normal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  <n v="1"/>
    <s v="Normal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  <n v="1"/>
    <s v="Normal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  <n v="1"/>
    <s v="Normal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  <n v="1"/>
    <s v="Normal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  <n v="1"/>
    <s v="Normal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  <n v="1"/>
    <s v="Normal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  <n v="1"/>
    <s v="Normal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  <n v="1"/>
    <s v="Normal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  <n v="1"/>
    <s v="Normal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  <n v="1"/>
    <s v="Normal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  <n v="1"/>
    <s v="Normal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  <n v="1"/>
    <s v="Normal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  <n v="1"/>
    <s v="Normal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  <n v="1"/>
    <s v="Outlier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  <n v="1"/>
    <s v="Normal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  <n v="1"/>
    <s v="Normal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  <n v="1"/>
    <s v="Normal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  <n v="1"/>
    <s v="Normal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  <n v="1"/>
    <s v="Normal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  <n v="1"/>
    <s v="Normal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  <n v="1"/>
    <s v="Normal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  <n v="1"/>
    <s v="Normal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  <n v="1"/>
    <s v="Normal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  <n v="1"/>
    <s v="Normal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  <n v="1"/>
    <s v="Normal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  <n v="1"/>
    <s v="Normal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  <n v="1"/>
    <s v="Normal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  <n v="1"/>
    <s v="Normal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  <n v="1"/>
    <s v="Normal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  <n v="1"/>
    <s v="Normal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  <n v="1"/>
    <s v="Normal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  <n v="1"/>
    <s v="Normal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  <n v="1"/>
    <s v="Normal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  <n v="1"/>
    <s v="Normal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  <n v="1"/>
    <s v="Normal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  <n v="1"/>
    <s v="Normal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  <n v="1"/>
    <s v="Normal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  <n v="1"/>
    <s v="Normal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  <n v="1"/>
    <s v="Normal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  <n v="1"/>
    <s v="Normal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  <n v="1"/>
    <s v="Normal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  <n v="1"/>
    <s v="Outlier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  <n v="1"/>
    <s v="Normal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  <n v="1"/>
    <s v="Normal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  <n v="1"/>
    <s v="Outlier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  <n v="1"/>
    <s v="Normal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  <n v="1"/>
    <s v="Outlier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  <n v="1"/>
    <s v="Normal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  <n v="1"/>
    <s v="Normal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  <n v="1"/>
    <s v="Normal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  <n v="1"/>
    <s v="Normal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  <n v="1"/>
    <s v="Normal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  <n v="1"/>
    <s v="Normal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  <n v="1"/>
    <s v="Normal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  <n v="1"/>
    <s v="Normal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  <n v="1"/>
    <s v="Normal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  <n v="1"/>
    <s v="Normal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  <n v="1"/>
    <s v="Normal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  <n v="1"/>
    <s v="Normal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  <n v="1"/>
    <s v="Normal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  <n v="1"/>
    <s v="Normal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  <n v="1"/>
    <s v="Normal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  <n v="1"/>
    <s v="Normal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  <n v="1"/>
    <s v="Normal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  <n v="1"/>
    <s v="Normal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  <n v="1"/>
    <s v="Normal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  <n v="1"/>
    <s v="Normal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  <n v="1"/>
    <s v="Outlier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  <n v="1"/>
    <s v="Normal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  <n v="1"/>
    <s v="Normal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  <n v="1"/>
    <s v="Normal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  <n v="1"/>
    <s v="Normal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  <n v="1"/>
    <s v="Normal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  <n v="1"/>
    <s v="Normal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  <n v="1"/>
    <s v="Normal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  <n v="1"/>
    <s v="Normal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  <n v="1"/>
    <s v="Normal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  <n v="1"/>
    <s v="Normal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  <n v="1"/>
    <s v="Outlier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  <n v="1"/>
    <s v="Normal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  <n v="1"/>
    <s v="Normal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  <n v="1"/>
    <s v="Normal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  <n v="1"/>
    <s v="Normal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  <n v="1"/>
    <s v="Normal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  <n v="1"/>
    <s v="Normal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  <n v="1"/>
    <s v="Normal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  <n v="1"/>
    <s v="Normal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  <n v="1"/>
    <s v="Normal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  <n v="1"/>
    <s v="Normal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  <n v="1"/>
    <s v="Normal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  <n v="1"/>
    <s v="Normal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  <n v="1"/>
    <s v="Normal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  <n v="1"/>
    <s v="Normal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  <n v="1"/>
    <s v="Normal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  <n v="1"/>
    <s v="Normal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  <n v="1"/>
    <s v="Normal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  <n v="1"/>
    <s v="Normal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  <n v="1"/>
    <s v="Normal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  <n v="1"/>
    <s v="Normal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  <n v="1"/>
    <s v="Normal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  <n v="1"/>
    <s v="Normal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  <n v="1"/>
    <s v="Normal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  <n v="1"/>
    <s v="Normal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  <n v="1"/>
    <s v="Normal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  <n v="1"/>
    <s v="Normal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  <n v="1"/>
    <s v="Normal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  <n v="1"/>
    <s v="Normal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  <n v="1"/>
    <s v="Normal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  <n v="1"/>
    <s v="Normal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n v="1"/>
    <s v="Normal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  <n v="1"/>
    <s v="Normal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  <n v="1"/>
    <s v="Normal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  <n v="1"/>
    <s v="Normal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  <n v="1"/>
    <s v="Normal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  <n v="1"/>
    <s v="Normal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  <n v="1"/>
    <s v="Normal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  <n v="1"/>
    <s v="Normal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  <n v="1"/>
    <s v="Normal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  <n v="1"/>
    <s v="Normal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  <n v="1"/>
    <s v="Normal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  <n v="1"/>
    <s v="Outlier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  <n v="1"/>
    <s v="Outlier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  <n v="1"/>
    <s v="Normal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  <n v="1"/>
    <s v="Normal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  <n v="1"/>
    <s v="Normal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  <n v="1"/>
    <s v="Outlier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  <n v="1"/>
    <s v="Normal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  <n v="1"/>
    <s v="Normal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  <n v="1"/>
    <s v="Normal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  <n v="1"/>
    <s v="Normal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  <n v="1"/>
    <s v="Normal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n v="1"/>
    <s v="Normal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  <n v="1"/>
    <s v="Normal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  <n v="1"/>
    <s v="Normal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  <n v="1"/>
    <s v="Normal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  <n v="1"/>
    <s v="Normal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  <n v="1"/>
    <s v="Outlier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  <n v="1"/>
    <s v="Normal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  <n v="1"/>
    <s v="Normal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  <n v="1"/>
    <s v="Normal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  <n v="1"/>
    <s v="Normal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  <n v="1"/>
    <s v="Normal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  <n v="1"/>
    <s v="Normal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  <n v="1"/>
    <s v="Normal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  <n v="1"/>
    <s v="Normal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  <n v="1"/>
    <s v="Normal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  <n v="1"/>
    <s v="Normal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  <n v="1"/>
    <s v="Normal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  <n v="1"/>
    <s v="Normal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  <n v="1"/>
    <s v="Normal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  <n v="1"/>
    <s v="Outlier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  <n v="1"/>
    <s v="Normal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  <n v="1"/>
    <s v="Normal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  <n v="1"/>
    <s v="Normal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  <n v="1"/>
    <s v="Normal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  <n v="1"/>
    <s v="Outlier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  <n v="1"/>
    <s v="Normal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  <n v="1"/>
    <s v="Normal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  <n v="1"/>
    <s v="Normal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  <n v="1"/>
    <s v="Normal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  <n v="1"/>
    <s v="Normal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  <n v="1"/>
    <s v="Normal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  <n v="1"/>
    <s v="Normal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  <n v="1"/>
    <s v="Normal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  <n v="1"/>
    <s v="Normal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  <n v="1"/>
    <s v="Normal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  <n v="1"/>
    <s v="Normal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  <n v="1"/>
    <s v="Normal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  <n v="1"/>
    <s v="Normal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  <n v="1"/>
    <s v="Normal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  <n v="1"/>
    <s v="Normal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  <n v="1"/>
    <s v="Normal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  <n v="1"/>
    <s v="Normal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  <n v="1"/>
    <s v="Normal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  <n v="1"/>
    <s v="Normal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  <n v="1"/>
    <s v="Normal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  <n v="1"/>
    <s v="Normal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  <n v="1"/>
    <s v="Normal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  <n v="1"/>
    <s v="Normal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  <n v="1"/>
    <s v="Normal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  <n v="1"/>
    <s v="Normal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  <n v="1"/>
    <s v="Normal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  <n v="1"/>
    <s v="Normal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  <n v="1"/>
    <s v="Normal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  <n v="1"/>
    <s v="Normal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  <n v="1"/>
    <s v="Normal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  <n v="1"/>
    <s v="Normal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  <n v="1"/>
    <s v="Normal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  <n v="1"/>
    <s v="Normal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  <n v="1"/>
    <s v="Normal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  <n v="1"/>
    <s v="Normal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  <n v="1"/>
    <s v="Normal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  <n v="1"/>
    <s v="Normal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  <n v="1"/>
    <s v="Normal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  <n v="1"/>
    <s v="Normal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  <n v="1"/>
    <s v="Normal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  <n v="1"/>
    <s v="Outlier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  <n v="1"/>
    <s v="Normal"/>
  </r>
  <r>
    <s v="USR-101299"/>
    <d v="2025-05-17T00:00:00"/>
    <x v="1"/>
    <x v="1"/>
    <x v="1"/>
    <x v="1"/>
    <s v="Free"/>
    <n v="0"/>
    <n v="0"/>
    <n v="0"/>
    <n v="0"/>
    <n v="0"/>
    <n v="3"/>
    <n v="0"/>
    <m/>
    <m/>
    <n v="1"/>
    <s v="Normal"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  <n v="1"/>
    <s v="Normal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  <n v="1"/>
    <s v="Normal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  <n v="1"/>
    <s v="Normal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  <n v="1"/>
    <s v="Normal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  <n v="1"/>
    <s v="Normal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  <n v="1"/>
    <s v="Normal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  <n v="1"/>
    <s v="Normal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  <n v="1"/>
    <s v="Normal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  <n v="1"/>
    <s v="Normal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  <n v="1"/>
    <s v="Normal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  <n v="1"/>
    <s v="Normal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  <n v="1"/>
    <s v="Outlier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  <n v="1"/>
    <s v="Normal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  <n v="1"/>
    <s v="Normal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  <n v="1"/>
    <s v="Normal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  <n v="1"/>
    <s v="Normal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  <n v="1"/>
    <s v="Normal"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  <n v="1"/>
    <s v="Normal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  <n v="1"/>
    <s v="Normal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  <n v="1"/>
    <s v="Outlier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  <n v="1"/>
    <s v="Normal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  <n v="1"/>
    <s v="Normal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  <n v="1"/>
    <s v="Outlier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  <n v="1"/>
    <s v="Normal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  <n v="1"/>
    <s v="Normal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  <n v="1"/>
    <s v="Normal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  <n v="1"/>
    <s v="Normal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  <n v="1"/>
    <s v="Normal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  <n v="1"/>
    <s v="Normal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  <n v="1"/>
    <s v="Normal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  <n v="1"/>
    <s v="Normal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  <n v="1"/>
    <s v="Normal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  <n v="1"/>
    <s v="Normal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  <n v="1"/>
    <s v="Normal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  <n v="1"/>
    <s v="Normal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  <n v="1"/>
    <s v="Normal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  <n v="1"/>
    <s v="Normal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  <n v="1"/>
    <s v="Normal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  <n v="1"/>
    <s v="Normal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  <n v="1"/>
    <s v="Normal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  <n v="1"/>
    <s v="Normal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  <n v="1"/>
    <s v="Normal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  <n v="1"/>
    <s v="Normal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  <n v="1"/>
    <s v="Normal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  <n v="1"/>
    <s v="Normal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  <n v="1"/>
    <s v="Normal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  <n v="1"/>
    <s v="Normal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  <n v="1"/>
    <s v="Normal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  <n v="1"/>
    <s v="Normal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  <n v="1"/>
    <s v="Normal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  <n v="1"/>
    <s v="Outlier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  <n v="1"/>
    <s v="Normal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  <n v="1"/>
    <s v="Normal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  <n v="1"/>
    <s v="Normal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  <n v="1"/>
    <s v="Normal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  <n v="1"/>
    <s v="Normal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  <n v="1"/>
    <s v="Normal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  <n v="1"/>
    <s v="Normal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  <n v="1"/>
    <s v="Normal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  <n v="1"/>
    <s v="Normal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  <n v="1"/>
    <s v="Normal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  <n v="1"/>
    <s v="Normal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n v="1"/>
    <s v="Normal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  <n v="1"/>
    <s v="Normal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  <n v="1"/>
    <s v="Normal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  <n v="1"/>
    <s v="Normal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  <n v="1"/>
    <s v="Normal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  <n v="1"/>
    <s v="Normal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  <n v="1"/>
    <s v="Normal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  <n v="1"/>
    <s v="Normal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  <n v="1"/>
    <s v="Normal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  <n v="1"/>
    <s v="Normal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  <n v="1"/>
    <s v="Normal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  <n v="1"/>
    <s v="Normal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  <n v="1"/>
    <s v="Normal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  <n v="1"/>
    <s v="Normal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  <n v="1"/>
    <s v="Normal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  <n v="1"/>
    <s v="Normal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  <n v="1"/>
    <s v="Normal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  <n v="1"/>
    <s v="Outlier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  <n v="1"/>
    <s v="Normal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  <n v="1"/>
    <s v="Normal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  <n v="1"/>
    <s v="Normal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  <n v="1"/>
    <s v="Normal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  <n v="1"/>
    <s v="Normal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  <n v="1"/>
    <s v="Normal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  <n v="1"/>
    <s v="Normal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  <n v="1"/>
    <s v="Normal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  <n v="1"/>
    <s v="Normal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  <n v="1"/>
    <s v="Normal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  <n v="1"/>
    <s v="Normal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  <n v="1"/>
    <s v="Normal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  <n v="1"/>
    <s v="Normal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  <n v="1"/>
    <s v="Normal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  <n v="1"/>
    <s v="Normal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  <n v="1"/>
    <s v="Normal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  <n v="1"/>
    <s v="Outlier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  <n v="1"/>
    <s v="Normal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  <n v="1"/>
    <s v="Normal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  <n v="1"/>
    <s v="Normal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  <n v="1"/>
    <s v="Normal"/>
  </r>
  <r>
    <m/>
    <m/>
    <x v="2"/>
    <x v="4"/>
    <x v="3"/>
    <x v="5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1">
  <r>
    <s v="USR-100001"/>
    <d v="2025-03-16T00:00:00"/>
    <x v="0"/>
    <s v="North"/>
    <x v="0"/>
    <x v="0"/>
    <s v="Basic"/>
    <n v="0"/>
    <n v="0"/>
    <n v="0"/>
    <n v="0"/>
    <n v="0"/>
    <n v="0"/>
    <n v="0"/>
    <m/>
    <n v="45.7"/>
    <n v="1"/>
  </r>
  <r>
    <s v="USR-100002"/>
    <d v="2025-03-08T00:00:00"/>
    <x v="0"/>
    <s v="West"/>
    <x v="1"/>
    <x v="1"/>
    <s v="Free"/>
    <n v="1"/>
    <n v="0"/>
    <n v="0"/>
    <n v="0"/>
    <n v="0"/>
    <n v="0"/>
    <n v="0"/>
    <m/>
    <n v="48.6"/>
    <n v="1"/>
  </r>
  <r>
    <s v="USR-100003"/>
    <d v="2025-04-24T00:00:00"/>
    <x v="0"/>
    <s v="East"/>
    <x v="1"/>
    <x v="2"/>
    <s v="Premium"/>
    <n v="1"/>
    <n v="0"/>
    <n v="0"/>
    <n v="0"/>
    <n v="0"/>
    <n v="1"/>
    <n v="0"/>
    <m/>
    <n v="35.4"/>
    <n v="1"/>
  </r>
  <r>
    <s v="USR-100004"/>
    <d v="2025-05-04T00:00:00"/>
    <x v="0"/>
    <s v="South"/>
    <x v="1"/>
    <x v="0"/>
    <s v="Basic"/>
    <n v="1"/>
    <n v="0"/>
    <n v="0"/>
    <n v="0"/>
    <n v="0"/>
    <n v="0"/>
    <n v="0"/>
    <m/>
    <n v="64.599999999999994"/>
    <n v="1"/>
  </r>
  <r>
    <s v="USR-100005"/>
    <d v="2025-02-12T00:00:00"/>
    <x v="0"/>
    <s v="North"/>
    <x v="2"/>
    <x v="1"/>
    <s v="Free"/>
    <n v="0"/>
    <n v="0"/>
    <n v="0"/>
    <n v="0"/>
    <n v="0"/>
    <n v="0"/>
    <n v="0"/>
    <m/>
    <n v="66.599999999999994"/>
    <n v="1"/>
  </r>
  <r>
    <s v="USR-100006"/>
    <d v="2025-01-28T00:00:00"/>
    <x v="0"/>
    <s v="East"/>
    <x v="1"/>
    <x v="1"/>
    <s v="Premium"/>
    <n v="1"/>
    <n v="0"/>
    <n v="0"/>
    <n v="0"/>
    <n v="0"/>
    <n v="0"/>
    <n v="0"/>
    <m/>
    <n v="40.799999999999997"/>
    <n v="1"/>
  </r>
  <r>
    <s v="USR-100007"/>
    <d v="2025-04-08T00:00:00"/>
    <x v="0"/>
    <s v="East"/>
    <x v="1"/>
    <x v="2"/>
    <s v="Basic"/>
    <n v="1"/>
    <n v="1"/>
    <n v="0"/>
    <n v="0"/>
    <n v="0"/>
    <n v="0"/>
    <n v="0"/>
    <m/>
    <n v="57.1"/>
    <n v="1"/>
  </r>
  <r>
    <s v="USR-100008"/>
    <d v="2025-05-17T00:00:00"/>
    <x v="0"/>
    <s v="South"/>
    <x v="1"/>
    <x v="2"/>
    <s v="Free"/>
    <n v="0"/>
    <n v="0"/>
    <n v="0"/>
    <n v="0"/>
    <n v="0"/>
    <n v="0"/>
    <n v="0"/>
    <m/>
    <n v="36.4"/>
    <n v="1"/>
  </r>
  <r>
    <s v="USR-100009"/>
    <d v="2025-02-23T00:00:00"/>
    <x v="0"/>
    <s v="South"/>
    <x v="2"/>
    <x v="3"/>
    <s v="Basic"/>
    <n v="0"/>
    <n v="0"/>
    <n v="0"/>
    <n v="0"/>
    <n v="0"/>
    <n v="0"/>
    <n v="0"/>
    <m/>
    <n v="55.4"/>
    <n v="1"/>
  </r>
  <r>
    <s v="USR-100010"/>
    <d v="2025-05-29T00:00:00"/>
    <x v="0"/>
    <s v="West"/>
    <x v="0"/>
    <x v="4"/>
    <s v="Free"/>
    <n v="1"/>
    <n v="0"/>
    <n v="0"/>
    <n v="0"/>
    <n v="0"/>
    <n v="0"/>
    <n v="0"/>
    <m/>
    <n v="57.3"/>
    <n v="1"/>
  </r>
  <r>
    <s v="USR-100011"/>
    <d v="2025-04-30T00:00:00"/>
    <x v="0"/>
    <s v="East"/>
    <x v="1"/>
    <x v="2"/>
    <s v="Basic"/>
    <n v="1"/>
    <n v="1"/>
    <n v="1"/>
    <n v="0"/>
    <n v="0"/>
    <n v="0"/>
    <n v="0"/>
    <m/>
    <n v="63.6"/>
    <n v="1"/>
  </r>
  <r>
    <s v="USR-100012"/>
    <d v="2025-03-16T00:00:00"/>
    <x v="0"/>
    <s v="East"/>
    <x v="1"/>
    <x v="4"/>
    <s v="Premium"/>
    <n v="1"/>
    <n v="1"/>
    <n v="1"/>
    <n v="0"/>
    <n v="0"/>
    <n v="1"/>
    <n v="0"/>
    <m/>
    <n v="80.400000000000006"/>
    <n v="1"/>
  </r>
  <r>
    <s v="USR-100013"/>
    <d v="2025-02-07T00:00:00"/>
    <x v="0"/>
    <s v="South"/>
    <x v="0"/>
    <x v="0"/>
    <s v="Basic"/>
    <n v="1"/>
    <n v="0"/>
    <n v="0"/>
    <n v="0"/>
    <n v="0"/>
    <n v="0"/>
    <n v="0"/>
    <m/>
    <n v="62.4"/>
    <n v="1"/>
  </r>
  <r>
    <s v="USR-100014"/>
    <d v="2025-03-02T00:00:00"/>
    <x v="0"/>
    <s v="West"/>
    <x v="1"/>
    <x v="4"/>
    <s v="Basic"/>
    <n v="1"/>
    <n v="0"/>
    <n v="0"/>
    <n v="0"/>
    <n v="0"/>
    <n v="0"/>
    <n v="0"/>
    <m/>
    <n v="82.4"/>
    <n v="1"/>
  </r>
  <r>
    <s v="USR-100015"/>
    <d v="2025-05-30T00:00:00"/>
    <x v="0"/>
    <s v="South"/>
    <x v="1"/>
    <x v="1"/>
    <s v="Basic"/>
    <n v="0"/>
    <n v="0"/>
    <n v="0"/>
    <n v="0"/>
    <n v="0"/>
    <n v="0"/>
    <n v="0"/>
    <m/>
    <n v="61.2"/>
    <n v="1"/>
  </r>
  <r>
    <s v="USR-100016"/>
    <d v="2025-03-25T00:00:00"/>
    <x v="0"/>
    <s v="South"/>
    <x v="1"/>
    <x v="4"/>
    <s v="Basic"/>
    <n v="1"/>
    <n v="0"/>
    <n v="0"/>
    <n v="0"/>
    <n v="0"/>
    <n v="0"/>
    <n v="0"/>
    <m/>
    <n v="68.900000000000006"/>
    <n v="1"/>
  </r>
  <r>
    <s v="USR-100017"/>
    <d v="2025-03-27T00:00:00"/>
    <x v="0"/>
    <s v="East"/>
    <x v="0"/>
    <x v="2"/>
    <s v="Free"/>
    <n v="1"/>
    <n v="1"/>
    <n v="1"/>
    <n v="0"/>
    <n v="0"/>
    <n v="0"/>
    <n v="0"/>
    <m/>
    <n v="71.900000000000006"/>
    <n v="1"/>
  </r>
  <r>
    <s v="USR-100018"/>
    <d v="2025-05-28T00:00:00"/>
    <x v="0"/>
    <s v="South"/>
    <x v="0"/>
    <x v="2"/>
    <s v="Free"/>
    <n v="0"/>
    <n v="0"/>
    <n v="0"/>
    <n v="0"/>
    <n v="0"/>
    <n v="0"/>
    <n v="0"/>
    <m/>
    <n v="50.5"/>
    <n v="1"/>
  </r>
  <r>
    <s v="USR-100019"/>
    <d v="2025-02-15T00:00:00"/>
    <x v="0"/>
    <s v="North"/>
    <x v="0"/>
    <x v="2"/>
    <s v="Basic"/>
    <n v="0"/>
    <n v="0"/>
    <n v="0"/>
    <n v="0"/>
    <n v="0"/>
    <n v="0"/>
    <n v="0"/>
    <m/>
    <n v="49.3"/>
    <n v="1"/>
  </r>
  <r>
    <s v="USR-100020"/>
    <d v="2025-05-05T00:00:00"/>
    <x v="0"/>
    <s v="West"/>
    <x v="0"/>
    <x v="1"/>
    <s v="Basic"/>
    <n v="0"/>
    <n v="0"/>
    <n v="0"/>
    <n v="0"/>
    <n v="0"/>
    <n v="2"/>
    <n v="0"/>
    <m/>
    <n v="60.9"/>
    <n v="1"/>
  </r>
  <r>
    <s v="USR-100021"/>
    <d v="2025-04-13T00:00:00"/>
    <x v="0"/>
    <s v="East"/>
    <x v="1"/>
    <x v="4"/>
    <s v="Free"/>
    <n v="1"/>
    <n v="0"/>
    <n v="0"/>
    <n v="0"/>
    <n v="0"/>
    <n v="0"/>
    <n v="0"/>
    <m/>
    <n v="62.7"/>
    <n v="1"/>
  </r>
  <r>
    <s v="USR-100022"/>
    <d v="2025-05-07T00:00:00"/>
    <x v="0"/>
    <s v="North"/>
    <x v="0"/>
    <x v="2"/>
    <s v="Free"/>
    <n v="0"/>
    <n v="0"/>
    <n v="0"/>
    <n v="0"/>
    <n v="0"/>
    <n v="0"/>
    <n v="0"/>
    <m/>
    <n v="52.7"/>
    <n v="1"/>
  </r>
  <r>
    <s v="USR-100023"/>
    <d v="2025-05-25T00:00:00"/>
    <x v="0"/>
    <s v="North"/>
    <x v="0"/>
    <x v="1"/>
    <s v="Free"/>
    <n v="0"/>
    <n v="0"/>
    <n v="0"/>
    <n v="0"/>
    <n v="0"/>
    <n v="0"/>
    <n v="0"/>
    <m/>
    <n v="54"/>
    <n v="1"/>
  </r>
  <r>
    <s v="USR-100024"/>
    <d v="2025-04-01T00:00:00"/>
    <x v="0"/>
    <s v="East"/>
    <x v="1"/>
    <x v="2"/>
    <s v="Premium"/>
    <n v="1"/>
    <n v="1"/>
    <n v="0"/>
    <n v="0"/>
    <n v="0"/>
    <n v="0"/>
    <n v="0"/>
    <m/>
    <n v="51.6"/>
    <n v="1"/>
  </r>
  <r>
    <s v="USR-100025"/>
    <d v="2025-02-22T00:00:00"/>
    <x v="0"/>
    <s v="North"/>
    <x v="1"/>
    <x v="2"/>
    <s v="Premium"/>
    <n v="0"/>
    <n v="0"/>
    <n v="0"/>
    <n v="0"/>
    <n v="0"/>
    <n v="2"/>
    <n v="0"/>
    <m/>
    <n v="66.900000000000006"/>
    <n v="1"/>
  </r>
  <r>
    <s v="USR-100026"/>
    <d v="2025-03-24T00:00:00"/>
    <x v="0"/>
    <s v="East"/>
    <x v="1"/>
    <x v="1"/>
    <s v="Basic"/>
    <n v="0"/>
    <n v="0"/>
    <n v="0"/>
    <n v="0"/>
    <n v="0"/>
    <n v="0"/>
    <n v="0"/>
    <m/>
    <n v="67.400000000000006"/>
    <n v="1"/>
  </r>
  <r>
    <s v="USR-100027"/>
    <d v="2025-02-13T00:00:00"/>
    <x v="0"/>
    <s v="North"/>
    <x v="1"/>
    <x v="1"/>
    <s v="Free"/>
    <n v="0"/>
    <n v="0"/>
    <n v="0"/>
    <n v="0"/>
    <n v="0"/>
    <n v="0"/>
    <n v="0"/>
    <m/>
    <n v="58.8"/>
    <n v="1"/>
  </r>
  <r>
    <s v="USR-100028"/>
    <d v="2025-05-30T00:00:00"/>
    <x v="0"/>
    <s v="South"/>
    <x v="1"/>
    <x v="1"/>
    <s v="Free"/>
    <n v="1"/>
    <n v="0"/>
    <n v="0"/>
    <n v="0"/>
    <n v="0"/>
    <n v="0"/>
    <n v="0"/>
    <m/>
    <n v="73.8"/>
    <n v="1"/>
  </r>
  <r>
    <s v="USR-100029"/>
    <d v="2025-01-20T00:00:00"/>
    <x v="0"/>
    <s v="East"/>
    <x v="2"/>
    <x v="1"/>
    <s v="Basic"/>
    <n v="0"/>
    <n v="0"/>
    <n v="0"/>
    <n v="0"/>
    <n v="0"/>
    <n v="0"/>
    <n v="0"/>
    <m/>
    <n v="60.1"/>
    <n v="1"/>
  </r>
  <r>
    <s v="USR-100030"/>
    <d v="2025-05-19T00:00:00"/>
    <x v="0"/>
    <s v="East"/>
    <x v="1"/>
    <x v="4"/>
    <s v="Basic"/>
    <n v="1"/>
    <n v="1"/>
    <n v="1"/>
    <n v="0"/>
    <n v="0"/>
    <n v="0"/>
    <n v="0"/>
    <m/>
    <n v="41"/>
    <n v="1"/>
  </r>
  <r>
    <s v="USR-100031"/>
    <d v="2025-02-18T00:00:00"/>
    <x v="0"/>
    <s v="South"/>
    <x v="1"/>
    <x v="1"/>
    <s v="Basic"/>
    <n v="1"/>
    <n v="0"/>
    <n v="0"/>
    <n v="0"/>
    <n v="0"/>
    <n v="0"/>
    <n v="0"/>
    <m/>
    <n v="80.3"/>
    <n v="1"/>
  </r>
  <r>
    <s v="USR-100032"/>
    <d v="2025-02-13T00:00:00"/>
    <x v="0"/>
    <s v="East"/>
    <x v="1"/>
    <x v="1"/>
    <s v="Free"/>
    <n v="0"/>
    <n v="0"/>
    <n v="0"/>
    <n v="0"/>
    <n v="0"/>
    <n v="0"/>
    <n v="0"/>
    <m/>
    <n v="67.599999999999994"/>
    <n v="1"/>
  </r>
  <r>
    <s v="USR-100033"/>
    <d v="2025-03-08T00:00:00"/>
    <x v="0"/>
    <s v="East"/>
    <x v="0"/>
    <x v="3"/>
    <s v="Premium"/>
    <n v="0"/>
    <n v="0"/>
    <n v="0"/>
    <n v="0"/>
    <n v="0"/>
    <n v="0"/>
    <n v="0"/>
    <m/>
    <n v="64"/>
    <n v="1"/>
  </r>
  <r>
    <s v="USR-100034"/>
    <d v="2025-01-11T00:00:00"/>
    <x v="0"/>
    <s v="North"/>
    <x v="1"/>
    <x v="2"/>
    <s v="Free"/>
    <n v="1"/>
    <n v="1"/>
    <n v="0"/>
    <n v="0"/>
    <n v="0"/>
    <n v="0"/>
    <n v="0"/>
    <m/>
    <n v="27.2"/>
    <n v="1"/>
  </r>
  <r>
    <s v="USR-100035"/>
    <d v="2025-02-12T00:00:00"/>
    <x v="0"/>
    <s v="North"/>
    <x v="0"/>
    <x v="1"/>
    <s v="Free"/>
    <n v="1"/>
    <n v="0"/>
    <n v="0"/>
    <n v="0"/>
    <n v="0"/>
    <n v="0"/>
    <n v="0"/>
    <m/>
    <n v="85.4"/>
    <n v="1"/>
  </r>
  <r>
    <s v="USR-100036"/>
    <d v="2025-04-13T00:00:00"/>
    <x v="0"/>
    <s v="East"/>
    <x v="0"/>
    <x v="1"/>
    <s v="Basic"/>
    <n v="1"/>
    <n v="0"/>
    <n v="0"/>
    <n v="0"/>
    <n v="0"/>
    <n v="0"/>
    <n v="0"/>
    <m/>
    <n v="75.900000000000006"/>
    <n v="1"/>
  </r>
  <r>
    <s v="USR-100037"/>
    <d v="2025-05-09T00:00:00"/>
    <x v="0"/>
    <s v="East"/>
    <x v="1"/>
    <x v="1"/>
    <s v="Premium"/>
    <n v="1"/>
    <n v="0"/>
    <n v="0"/>
    <n v="0"/>
    <n v="0"/>
    <n v="1"/>
    <n v="0"/>
    <m/>
    <n v="34.799999999999997"/>
    <n v="1"/>
  </r>
  <r>
    <s v="USR-100038"/>
    <d v="2025-01-20T00:00:00"/>
    <x v="0"/>
    <s v="East"/>
    <x v="1"/>
    <x v="1"/>
    <s v="Free"/>
    <n v="1"/>
    <n v="1"/>
    <n v="1"/>
    <n v="0"/>
    <n v="0"/>
    <n v="3"/>
    <n v="0"/>
    <m/>
    <n v="48.9"/>
    <n v="1"/>
  </r>
  <r>
    <s v="USR-100039"/>
    <d v="2025-05-13T00:00:00"/>
    <x v="0"/>
    <s v="East"/>
    <x v="1"/>
    <x v="0"/>
    <s v="Premium"/>
    <n v="1"/>
    <n v="0"/>
    <n v="0"/>
    <n v="0"/>
    <n v="0"/>
    <n v="0"/>
    <n v="0"/>
    <m/>
    <n v="41.5"/>
    <n v="1"/>
  </r>
  <r>
    <s v="USR-100040"/>
    <d v="2025-04-07T00:00:00"/>
    <x v="0"/>
    <s v="North"/>
    <x v="0"/>
    <x v="1"/>
    <s v="Basic"/>
    <n v="1"/>
    <n v="0"/>
    <n v="0"/>
    <n v="0"/>
    <n v="0"/>
    <n v="0"/>
    <n v="0"/>
    <m/>
    <n v="51.5"/>
    <n v="1"/>
  </r>
  <r>
    <s v="USR-100041"/>
    <d v="2025-03-31T00:00:00"/>
    <x v="0"/>
    <s v="North"/>
    <x v="0"/>
    <x v="1"/>
    <s v="Free"/>
    <n v="0"/>
    <n v="0"/>
    <n v="0"/>
    <n v="0"/>
    <n v="0"/>
    <n v="0"/>
    <n v="0"/>
    <m/>
    <n v="53.2"/>
    <n v="1"/>
  </r>
  <r>
    <s v="USR-100042"/>
    <d v="2025-01-25T00:00:00"/>
    <x v="0"/>
    <s v="East"/>
    <x v="1"/>
    <x v="0"/>
    <s v="Premium"/>
    <n v="0"/>
    <n v="0"/>
    <n v="0"/>
    <n v="0"/>
    <n v="0"/>
    <n v="0"/>
    <n v="0"/>
    <m/>
    <n v="55.6"/>
    <n v="1"/>
  </r>
  <r>
    <s v="USR-100043"/>
    <d v="2025-02-14T00:00:00"/>
    <x v="0"/>
    <s v="South"/>
    <x v="0"/>
    <x v="1"/>
    <s v="Free"/>
    <n v="0"/>
    <n v="0"/>
    <n v="0"/>
    <n v="0"/>
    <n v="0"/>
    <n v="0"/>
    <n v="0"/>
    <m/>
    <n v="73"/>
    <n v="1"/>
  </r>
  <r>
    <s v="USR-100044"/>
    <d v="2025-02-27T00:00:00"/>
    <x v="0"/>
    <s v="East"/>
    <x v="1"/>
    <x v="0"/>
    <s v="Free"/>
    <n v="1"/>
    <n v="0"/>
    <n v="0"/>
    <n v="0"/>
    <n v="0"/>
    <n v="0"/>
    <n v="0"/>
    <m/>
    <n v="65"/>
    <n v="1"/>
  </r>
  <r>
    <s v="USR-100045"/>
    <d v="2025-03-28T00:00:00"/>
    <x v="0"/>
    <s v="East"/>
    <x v="1"/>
    <x v="4"/>
    <s v="Free"/>
    <n v="1"/>
    <n v="0"/>
    <n v="0"/>
    <n v="0"/>
    <n v="0"/>
    <n v="4"/>
    <n v="0"/>
    <m/>
    <n v="56.3"/>
    <n v="1"/>
  </r>
  <r>
    <s v="USR-100046"/>
    <d v="2025-05-25T00:00:00"/>
    <x v="0"/>
    <s v="East"/>
    <x v="1"/>
    <x v="3"/>
    <s v="Premium"/>
    <n v="1"/>
    <n v="0"/>
    <n v="0"/>
    <n v="0"/>
    <n v="0"/>
    <n v="0"/>
    <n v="0"/>
    <m/>
    <n v="62.4"/>
    <n v="1"/>
  </r>
  <r>
    <s v="USR-100047"/>
    <d v="2025-05-05T00:00:00"/>
    <x v="0"/>
    <s v="West"/>
    <x v="0"/>
    <x v="1"/>
    <s v="Free"/>
    <n v="1"/>
    <n v="1"/>
    <n v="1"/>
    <n v="0"/>
    <n v="0"/>
    <n v="0"/>
    <n v="0"/>
    <m/>
    <n v="58.1"/>
    <n v="1"/>
  </r>
  <r>
    <s v="USR-100048"/>
    <d v="2025-05-16T00:00:00"/>
    <x v="0"/>
    <s v="North"/>
    <x v="1"/>
    <x v="1"/>
    <s v="Free"/>
    <n v="1"/>
    <n v="1"/>
    <n v="1"/>
    <n v="0"/>
    <n v="0"/>
    <n v="0"/>
    <n v="0"/>
    <m/>
    <n v="80.8"/>
    <n v="1"/>
  </r>
  <r>
    <s v="USR-100049"/>
    <d v="2025-01-08T00:00:00"/>
    <x v="0"/>
    <s v="North"/>
    <x v="1"/>
    <x v="4"/>
    <s v="Free"/>
    <n v="1"/>
    <n v="1"/>
    <n v="0"/>
    <n v="0"/>
    <n v="0"/>
    <n v="0"/>
    <n v="0"/>
    <m/>
    <n v="42.9"/>
    <n v="1"/>
  </r>
  <r>
    <s v="USR-100050"/>
    <d v="2025-01-06T00:00:00"/>
    <x v="0"/>
    <s v="West"/>
    <x v="0"/>
    <x v="2"/>
    <s v="Free"/>
    <n v="1"/>
    <n v="0"/>
    <n v="0"/>
    <n v="0"/>
    <n v="0"/>
    <n v="0"/>
    <n v="0"/>
    <m/>
    <n v="52.7"/>
    <n v="1"/>
  </r>
  <r>
    <s v="USR-100051"/>
    <d v="2025-01-12T00:00:00"/>
    <x v="0"/>
    <s v="North"/>
    <x v="1"/>
    <x v="4"/>
    <s v="Basic"/>
    <n v="0"/>
    <n v="0"/>
    <n v="0"/>
    <n v="0"/>
    <n v="0"/>
    <n v="0"/>
    <n v="0"/>
    <m/>
    <n v="46.9"/>
    <n v="1"/>
  </r>
  <r>
    <s v="USR-100052"/>
    <d v="2025-02-14T00:00:00"/>
    <x v="0"/>
    <s v="East"/>
    <x v="0"/>
    <x v="0"/>
    <s v="Premium"/>
    <n v="1"/>
    <n v="0"/>
    <n v="0"/>
    <n v="0"/>
    <n v="0"/>
    <n v="0"/>
    <n v="0"/>
    <m/>
    <n v="63"/>
    <n v="1"/>
  </r>
  <r>
    <s v="USR-100053"/>
    <d v="2025-03-10T00:00:00"/>
    <x v="0"/>
    <s v="South"/>
    <x v="2"/>
    <x v="1"/>
    <s v="Free"/>
    <n v="0"/>
    <n v="0"/>
    <n v="0"/>
    <n v="0"/>
    <n v="0"/>
    <n v="0"/>
    <n v="0"/>
    <m/>
    <n v="53.6"/>
    <n v="1"/>
  </r>
  <r>
    <s v="USR-100054"/>
    <d v="2025-04-20T00:00:00"/>
    <x v="0"/>
    <s v="West"/>
    <x v="0"/>
    <x v="1"/>
    <s v="Basic"/>
    <n v="0"/>
    <n v="0"/>
    <n v="0"/>
    <n v="0"/>
    <n v="0"/>
    <n v="0"/>
    <n v="0"/>
    <m/>
    <n v="49.6"/>
    <n v="1"/>
  </r>
  <r>
    <s v="USR-100055"/>
    <d v="2025-02-19T00:00:00"/>
    <x v="0"/>
    <s v="South"/>
    <x v="1"/>
    <x v="1"/>
    <s v="Free"/>
    <n v="0"/>
    <n v="0"/>
    <n v="0"/>
    <n v="0"/>
    <n v="0"/>
    <n v="0"/>
    <n v="0"/>
    <m/>
    <n v="54"/>
    <n v="1"/>
  </r>
  <r>
    <s v="USR-100056"/>
    <d v="2025-05-17T00:00:00"/>
    <x v="0"/>
    <s v="South"/>
    <x v="1"/>
    <x v="4"/>
    <s v="Basic"/>
    <n v="1"/>
    <n v="0"/>
    <n v="0"/>
    <n v="0"/>
    <n v="0"/>
    <n v="2"/>
    <n v="0"/>
    <m/>
    <n v="50"/>
    <n v="1"/>
  </r>
  <r>
    <s v="USR-100057"/>
    <d v="2025-04-01T00:00:00"/>
    <x v="0"/>
    <s v="East"/>
    <x v="1"/>
    <x v="4"/>
    <s v="Basic"/>
    <n v="0"/>
    <n v="0"/>
    <n v="0"/>
    <n v="0"/>
    <n v="0"/>
    <n v="0"/>
    <n v="0"/>
    <m/>
    <n v="48.1"/>
    <n v="1"/>
  </r>
  <r>
    <s v="USR-100058"/>
    <d v="2025-02-04T00:00:00"/>
    <x v="0"/>
    <s v="North"/>
    <x v="0"/>
    <x v="1"/>
    <s v="Free"/>
    <n v="1"/>
    <n v="0"/>
    <n v="0"/>
    <n v="0"/>
    <n v="0"/>
    <n v="0"/>
    <n v="0"/>
    <m/>
    <n v="49.6"/>
    <n v="1"/>
  </r>
  <r>
    <s v="USR-100059"/>
    <d v="2025-04-14T00:00:00"/>
    <x v="0"/>
    <s v="North"/>
    <x v="1"/>
    <x v="4"/>
    <s v="Free"/>
    <n v="0"/>
    <n v="0"/>
    <n v="0"/>
    <n v="0"/>
    <n v="0"/>
    <n v="2"/>
    <n v="0"/>
    <m/>
    <n v="48.9"/>
    <n v="1"/>
  </r>
  <r>
    <s v="USR-100060"/>
    <d v="2025-01-01T00:00:00"/>
    <x v="0"/>
    <s v="West"/>
    <x v="1"/>
    <x v="4"/>
    <s v="Free"/>
    <n v="1"/>
    <n v="1"/>
    <n v="1"/>
    <n v="1"/>
    <n v="240.42"/>
    <n v="0"/>
    <n v="0"/>
    <n v="16"/>
    <n v="56.5"/>
    <n v="1"/>
  </r>
  <r>
    <s v="USR-100061"/>
    <d v="2025-04-02T00:00:00"/>
    <x v="0"/>
    <s v="South"/>
    <x v="1"/>
    <x v="3"/>
    <s v="Free"/>
    <n v="1"/>
    <n v="0"/>
    <n v="0"/>
    <n v="0"/>
    <n v="0"/>
    <n v="0"/>
    <n v="0"/>
    <m/>
    <n v="53.7"/>
    <n v="1"/>
  </r>
  <r>
    <s v="USR-100062"/>
    <d v="2025-03-29T00:00:00"/>
    <x v="0"/>
    <s v="North"/>
    <x v="1"/>
    <x v="4"/>
    <s v="Premium"/>
    <n v="0"/>
    <n v="0"/>
    <n v="0"/>
    <n v="0"/>
    <n v="0"/>
    <n v="0"/>
    <n v="0"/>
    <m/>
    <n v="62.2"/>
    <n v="1"/>
  </r>
  <r>
    <s v="USR-100063"/>
    <d v="2025-05-15T00:00:00"/>
    <x v="0"/>
    <s v="South"/>
    <x v="0"/>
    <x v="1"/>
    <s v="Free"/>
    <n v="1"/>
    <n v="0"/>
    <n v="0"/>
    <n v="0"/>
    <n v="0"/>
    <n v="0"/>
    <n v="0"/>
    <m/>
    <n v="50.2"/>
    <n v="1"/>
  </r>
  <r>
    <s v="USR-100064"/>
    <d v="2025-04-11T00:00:00"/>
    <x v="0"/>
    <s v="North"/>
    <x v="1"/>
    <x v="1"/>
    <s v="Basic"/>
    <n v="1"/>
    <n v="0"/>
    <n v="0"/>
    <n v="0"/>
    <n v="0"/>
    <n v="0"/>
    <n v="0"/>
    <m/>
    <n v="74.3"/>
    <n v="1"/>
  </r>
  <r>
    <s v="USR-100065"/>
    <d v="2025-03-07T00:00:00"/>
    <x v="0"/>
    <s v="South"/>
    <x v="0"/>
    <x v="2"/>
    <s v="Free"/>
    <n v="1"/>
    <n v="0"/>
    <n v="0"/>
    <n v="0"/>
    <n v="0"/>
    <n v="0"/>
    <n v="0"/>
    <m/>
    <n v="58"/>
    <n v="1"/>
  </r>
  <r>
    <s v="USR-100066"/>
    <d v="2025-05-30T00:00:00"/>
    <x v="0"/>
    <s v="South"/>
    <x v="1"/>
    <x v="1"/>
    <s v="Free"/>
    <n v="0"/>
    <n v="0"/>
    <n v="0"/>
    <n v="0"/>
    <n v="0"/>
    <n v="0"/>
    <n v="0"/>
    <m/>
    <n v="46.7"/>
    <n v="1"/>
  </r>
  <r>
    <s v="USR-100067"/>
    <d v="2025-01-07T00:00:00"/>
    <x v="0"/>
    <s v="South"/>
    <x v="0"/>
    <x v="1"/>
    <s v="Premium"/>
    <n v="1"/>
    <n v="0"/>
    <n v="0"/>
    <n v="0"/>
    <n v="0"/>
    <n v="1"/>
    <n v="0"/>
    <m/>
    <n v="49.6"/>
    <n v="1"/>
  </r>
  <r>
    <s v="USR-100068"/>
    <d v="2025-05-08T00:00:00"/>
    <x v="0"/>
    <s v="West"/>
    <x v="1"/>
    <x v="4"/>
    <s v="Free"/>
    <n v="0"/>
    <n v="0"/>
    <n v="0"/>
    <n v="0"/>
    <n v="0"/>
    <n v="0"/>
    <n v="0"/>
    <m/>
    <n v="60.4"/>
    <n v="1"/>
  </r>
  <r>
    <s v="USR-100069"/>
    <d v="2025-03-19T00:00:00"/>
    <x v="0"/>
    <s v="East"/>
    <x v="0"/>
    <x v="0"/>
    <s v="Free"/>
    <n v="1"/>
    <n v="1"/>
    <n v="1"/>
    <n v="0"/>
    <n v="0"/>
    <n v="0"/>
    <n v="0"/>
    <m/>
    <n v="55.3"/>
    <n v="1"/>
  </r>
  <r>
    <s v="USR-100070"/>
    <d v="2025-05-16T00:00:00"/>
    <x v="0"/>
    <s v="North"/>
    <x v="0"/>
    <x v="1"/>
    <s v="Free"/>
    <n v="0"/>
    <n v="0"/>
    <n v="0"/>
    <n v="0"/>
    <n v="0"/>
    <n v="0"/>
    <n v="0"/>
    <m/>
    <n v="56.2"/>
    <n v="1"/>
  </r>
  <r>
    <s v="USR-100071"/>
    <d v="2025-03-08T00:00:00"/>
    <x v="0"/>
    <s v="West"/>
    <x v="1"/>
    <x v="0"/>
    <s v="Free"/>
    <n v="0"/>
    <n v="0"/>
    <n v="0"/>
    <n v="0"/>
    <n v="0"/>
    <n v="0"/>
    <n v="0"/>
    <m/>
    <n v="29.4"/>
    <n v="1"/>
  </r>
  <r>
    <s v="USR-100072"/>
    <d v="2025-03-08T00:00:00"/>
    <x v="0"/>
    <s v="East"/>
    <x v="1"/>
    <x v="0"/>
    <s v="Free"/>
    <n v="1"/>
    <n v="0"/>
    <n v="0"/>
    <n v="0"/>
    <n v="0"/>
    <n v="0"/>
    <n v="0"/>
    <m/>
    <n v="54.2"/>
    <n v="1"/>
  </r>
  <r>
    <s v="USR-100073"/>
    <d v="2025-01-14T00:00:00"/>
    <x v="0"/>
    <s v="East"/>
    <x v="0"/>
    <x v="2"/>
    <s v="Basic"/>
    <n v="0"/>
    <n v="0"/>
    <n v="0"/>
    <n v="0"/>
    <n v="0"/>
    <n v="0"/>
    <n v="0"/>
    <m/>
    <n v="46.4"/>
    <n v="1"/>
  </r>
  <r>
    <s v="USR-100074"/>
    <d v="2025-02-10T00:00:00"/>
    <x v="0"/>
    <s v="South"/>
    <x v="1"/>
    <x v="2"/>
    <s v="Basic"/>
    <n v="0"/>
    <n v="0"/>
    <n v="0"/>
    <n v="0"/>
    <n v="0"/>
    <n v="0"/>
    <n v="0"/>
    <m/>
    <n v="54.5"/>
    <n v="1"/>
  </r>
  <r>
    <s v="USR-100075"/>
    <d v="2025-03-17T00:00:00"/>
    <x v="0"/>
    <s v="North"/>
    <x v="1"/>
    <x v="1"/>
    <s v="Free"/>
    <n v="0"/>
    <n v="0"/>
    <n v="0"/>
    <n v="0"/>
    <n v="0"/>
    <n v="0"/>
    <n v="0"/>
    <m/>
    <n v="58.5"/>
    <n v="1"/>
  </r>
  <r>
    <s v="USR-100076"/>
    <d v="2025-01-09T00:00:00"/>
    <x v="0"/>
    <s v="South"/>
    <x v="1"/>
    <x v="0"/>
    <s v="Free"/>
    <n v="0"/>
    <n v="0"/>
    <n v="0"/>
    <n v="0"/>
    <n v="0"/>
    <n v="0"/>
    <n v="0"/>
    <m/>
    <n v="75.900000000000006"/>
    <n v="1"/>
  </r>
  <r>
    <s v="USR-100077"/>
    <d v="2025-04-17T00:00:00"/>
    <x v="0"/>
    <s v="North"/>
    <x v="1"/>
    <x v="3"/>
    <s v="Free"/>
    <n v="0"/>
    <n v="0"/>
    <n v="0"/>
    <n v="0"/>
    <n v="0"/>
    <n v="1"/>
    <n v="0"/>
    <m/>
    <n v="84.9"/>
    <n v="1"/>
  </r>
  <r>
    <s v="USR-100078"/>
    <d v="2025-01-16T00:00:00"/>
    <x v="0"/>
    <s v="North"/>
    <x v="1"/>
    <x v="1"/>
    <s v="Free"/>
    <n v="0"/>
    <n v="0"/>
    <n v="0"/>
    <n v="0"/>
    <n v="0"/>
    <n v="2"/>
    <n v="0"/>
    <m/>
    <n v="48.4"/>
    <n v="1"/>
  </r>
  <r>
    <s v="USR-100079"/>
    <d v="2025-02-20T00:00:00"/>
    <x v="0"/>
    <s v="West"/>
    <x v="0"/>
    <x v="1"/>
    <s v="Free"/>
    <n v="1"/>
    <n v="1"/>
    <n v="1"/>
    <n v="1"/>
    <n v="457.51"/>
    <n v="0"/>
    <n v="0"/>
    <n v="7"/>
    <n v="38"/>
    <n v="1"/>
  </r>
  <r>
    <s v="USR-100080"/>
    <d v="2025-05-21T00:00:00"/>
    <x v="0"/>
    <s v="East"/>
    <x v="1"/>
    <x v="4"/>
    <s v="Free"/>
    <n v="1"/>
    <n v="0"/>
    <n v="0"/>
    <n v="0"/>
    <n v="0"/>
    <n v="0"/>
    <n v="0"/>
    <m/>
    <n v="44.2"/>
    <n v="1"/>
  </r>
  <r>
    <s v="USR-100081"/>
    <d v="2025-05-08T00:00:00"/>
    <x v="0"/>
    <s v="South"/>
    <x v="1"/>
    <x v="1"/>
    <s v="Free"/>
    <n v="1"/>
    <n v="1"/>
    <n v="1"/>
    <n v="0"/>
    <n v="0"/>
    <n v="0"/>
    <n v="0"/>
    <m/>
    <n v="81.2"/>
    <n v="1"/>
  </r>
  <r>
    <s v="USR-100082"/>
    <d v="2025-03-08T00:00:00"/>
    <x v="0"/>
    <s v="South"/>
    <x v="1"/>
    <x v="3"/>
    <s v="Free"/>
    <n v="1"/>
    <n v="1"/>
    <n v="0"/>
    <n v="0"/>
    <n v="0"/>
    <n v="0"/>
    <n v="0"/>
    <m/>
    <n v="63.8"/>
    <n v="1"/>
  </r>
  <r>
    <s v="USR-100083"/>
    <d v="2025-04-01T00:00:00"/>
    <x v="0"/>
    <s v="South"/>
    <x v="0"/>
    <x v="0"/>
    <s v="Free"/>
    <n v="0"/>
    <n v="0"/>
    <n v="0"/>
    <n v="0"/>
    <n v="0"/>
    <n v="0"/>
    <n v="0"/>
    <m/>
    <n v="64.7"/>
    <n v="1"/>
  </r>
  <r>
    <s v="USR-100084"/>
    <d v="2025-03-03T00:00:00"/>
    <x v="0"/>
    <s v="West"/>
    <x v="1"/>
    <x v="4"/>
    <s v="Basic"/>
    <n v="0"/>
    <n v="0"/>
    <n v="0"/>
    <n v="0"/>
    <n v="0"/>
    <n v="0"/>
    <n v="0"/>
    <m/>
    <n v="60.4"/>
    <n v="1"/>
  </r>
  <r>
    <s v="USR-100085"/>
    <d v="2025-04-16T00:00:00"/>
    <x v="0"/>
    <s v="South"/>
    <x v="1"/>
    <x v="2"/>
    <s v="Free"/>
    <n v="0"/>
    <n v="0"/>
    <n v="0"/>
    <n v="0"/>
    <n v="0"/>
    <n v="0"/>
    <n v="0"/>
    <m/>
    <n v="66.599999999999994"/>
    <n v="1"/>
  </r>
  <r>
    <s v="USR-100086"/>
    <d v="2025-01-09T00:00:00"/>
    <x v="0"/>
    <s v="North"/>
    <x v="0"/>
    <x v="1"/>
    <s v="Free"/>
    <n v="1"/>
    <n v="0"/>
    <n v="0"/>
    <n v="0"/>
    <n v="0"/>
    <n v="0"/>
    <n v="0"/>
    <m/>
    <n v="50.9"/>
    <n v="1"/>
  </r>
  <r>
    <s v="USR-100087"/>
    <d v="2025-01-22T00:00:00"/>
    <x v="0"/>
    <s v="West"/>
    <x v="0"/>
    <x v="4"/>
    <s v="Basic"/>
    <n v="0"/>
    <n v="0"/>
    <n v="0"/>
    <n v="0"/>
    <n v="0"/>
    <n v="0"/>
    <n v="0"/>
    <m/>
    <n v="51"/>
    <n v="1"/>
  </r>
  <r>
    <s v="USR-100088"/>
    <d v="2025-04-30T00:00:00"/>
    <x v="0"/>
    <s v="South"/>
    <x v="1"/>
    <x v="0"/>
    <s v="Premium"/>
    <n v="0"/>
    <n v="0"/>
    <n v="0"/>
    <n v="0"/>
    <n v="0"/>
    <n v="0"/>
    <n v="0"/>
    <m/>
    <n v="65.8"/>
    <n v="1"/>
  </r>
  <r>
    <s v="USR-100089"/>
    <d v="2025-04-25T00:00:00"/>
    <x v="0"/>
    <s v="North"/>
    <x v="1"/>
    <x v="3"/>
    <s v="Basic"/>
    <n v="1"/>
    <n v="0"/>
    <n v="0"/>
    <n v="0"/>
    <n v="0"/>
    <n v="0"/>
    <n v="0"/>
    <m/>
    <n v="61.8"/>
    <n v="1"/>
  </r>
  <r>
    <s v="USR-100090"/>
    <d v="2025-02-01T00:00:00"/>
    <x v="0"/>
    <s v="North"/>
    <x v="1"/>
    <x v="1"/>
    <s v="Basic"/>
    <n v="1"/>
    <n v="0"/>
    <n v="0"/>
    <n v="0"/>
    <n v="0"/>
    <n v="0"/>
    <n v="0"/>
    <m/>
    <n v="54.5"/>
    <n v="1"/>
  </r>
  <r>
    <s v="USR-100091"/>
    <d v="2025-04-23T00:00:00"/>
    <x v="0"/>
    <s v="South"/>
    <x v="0"/>
    <x v="1"/>
    <s v="Free"/>
    <n v="1"/>
    <n v="0"/>
    <n v="0"/>
    <n v="0"/>
    <n v="0"/>
    <n v="0"/>
    <n v="0"/>
    <m/>
    <n v="72.2"/>
    <n v="1"/>
  </r>
  <r>
    <s v="USR-100092"/>
    <d v="2025-02-27T00:00:00"/>
    <x v="0"/>
    <s v="South"/>
    <x v="1"/>
    <x v="4"/>
    <s v="Free"/>
    <n v="1"/>
    <n v="0"/>
    <n v="0"/>
    <n v="0"/>
    <n v="0"/>
    <n v="0"/>
    <n v="0"/>
    <m/>
    <n v="42.3"/>
    <n v="1"/>
  </r>
  <r>
    <s v="USR-100093"/>
    <d v="2025-04-09T00:00:00"/>
    <x v="0"/>
    <s v="East"/>
    <x v="0"/>
    <x v="1"/>
    <s v="Basic"/>
    <n v="1"/>
    <n v="0"/>
    <n v="0"/>
    <n v="0"/>
    <n v="0"/>
    <n v="0"/>
    <n v="0"/>
    <m/>
    <n v="76.2"/>
    <n v="1"/>
  </r>
  <r>
    <s v="USR-100094"/>
    <d v="2025-05-13T00:00:00"/>
    <x v="0"/>
    <s v="South"/>
    <x v="2"/>
    <x v="1"/>
    <s v="Premium"/>
    <n v="1"/>
    <n v="1"/>
    <n v="1"/>
    <n v="0"/>
    <n v="0"/>
    <n v="1"/>
    <n v="0"/>
    <m/>
    <n v="37.4"/>
    <n v="1"/>
  </r>
  <r>
    <s v="USR-100095"/>
    <d v="2025-04-13T00:00:00"/>
    <x v="0"/>
    <s v="East"/>
    <x v="1"/>
    <x v="1"/>
    <s v="Free"/>
    <n v="0"/>
    <n v="0"/>
    <n v="0"/>
    <n v="0"/>
    <n v="0"/>
    <n v="0"/>
    <n v="0"/>
    <m/>
    <n v="84.2"/>
    <n v="1"/>
  </r>
  <r>
    <s v="USR-100096"/>
    <d v="2025-02-05T00:00:00"/>
    <x v="0"/>
    <s v="East"/>
    <x v="1"/>
    <x v="4"/>
    <s v="Free"/>
    <n v="0"/>
    <n v="0"/>
    <n v="0"/>
    <n v="0"/>
    <n v="0"/>
    <n v="0"/>
    <n v="0"/>
    <m/>
    <n v="68"/>
    <n v="1"/>
  </r>
  <r>
    <s v="USR-100097"/>
    <d v="2025-02-14T00:00:00"/>
    <x v="0"/>
    <s v="West"/>
    <x v="1"/>
    <x v="1"/>
    <s v="Basic"/>
    <n v="1"/>
    <n v="0"/>
    <n v="0"/>
    <n v="0"/>
    <n v="0"/>
    <n v="0"/>
    <n v="0"/>
    <m/>
    <n v="53.5"/>
    <n v="1"/>
  </r>
  <r>
    <s v="USR-100098"/>
    <d v="2025-02-11T00:00:00"/>
    <x v="0"/>
    <s v="North"/>
    <x v="0"/>
    <x v="1"/>
    <s v="Premium"/>
    <n v="1"/>
    <n v="0"/>
    <n v="0"/>
    <n v="0"/>
    <n v="0"/>
    <n v="0"/>
    <n v="0"/>
    <m/>
    <n v="63.2"/>
    <n v="1"/>
  </r>
  <r>
    <s v="USR-100099"/>
    <d v="2025-02-11T00:00:00"/>
    <x v="0"/>
    <s v="East"/>
    <x v="0"/>
    <x v="4"/>
    <s v="Free"/>
    <n v="1"/>
    <n v="1"/>
    <n v="1"/>
    <n v="1"/>
    <n v="363.32"/>
    <n v="0"/>
    <n v="0"/>
    <n v="9"/>
    <n v="55.9"/>
    <n v="1"/>
  </r>
  <r>
    <s v="USR-100100"/>
    <d v="2025-05-26T00:00:00"/>
    <x v="0"/>
    <s v="North"/>
    <x v="1"/>
    <x v="1"/>
    <s v="Free"/>
    <n v="1"/>
    <n v="0"/>
    <n v="0"/>
    <n v="0"/>
    <n v="0"/>
    <n v="0"/>
    <n v="0"/>
    <m/>
    <n v="63.5"/>
    <n v="1"/>
  </r>
  <r>
    <s v="USR-100101"/>
    <d v="2025-03-22T00:00:00"/>
    <x v="0"/>
    <s v="North"/>
    <x v="1"/>
    <x v="2"/>
    <s v="Basic"/>
    <n v="1"/>
    <n v="0"/>
    <n v="0"/>
    <n v="0"/>
    <n v="0"/>
    <n v="0"/>
    <n v="0"/>
    <m/>
    <n v="51.5"/>
    <n v="1"/>
  </r>
  <r>
    <s v="USR-100102"/>
    <d v="2025-04-08T00:00:00"/>
    <x v="0"/>
    <s v="West"/>
    <x v="1"/>
    <x v="2"/>
    <s v="Free"/>
    <n v="1"/>
    <n v="0"/>
    <n v="0"/>
    <n v="0"/>
    <n v="0"/>
    <n v="0"/>
    <n v="0"/>
    <m/>
    <n v="74.400000000000006"/>
    <n v="1"/>
  </r>
  <r>
    <s v="USR-100103"/>
    <d v="2025-04-14T00:00:00"/>
    <x v="0"/>
    <s v="North"/>
    <x v="0"/>
    <x v="4"/>
    <s v="Free"/>
    <n v="1"/>
    <n v="1"/>
    <n v="1"/>
    <n v="1"/>
    <n v="3887.98"/>
    <n v="0"/>
    <n v="0"/>
    <n v="13"/>
    <n v="60.2"/>
    <n v="1"/>
  </r>
  <r>
    <s v="USR-100104"/>
    <d v="2025-03-27T00:00:00"/>
    <x v="0"/>
    <s v="South"/>
    <x v="1"/>
    <x v="0"/>
    <s v="Free"/>
    <n v="1"/>
    <n v="0"/>
    <n v="0"/>
    <n v="0"/>
    <n v="0"/>
    <n v="1"/>
    <n v="0"/>
    <m/>
    <n v="67.2"/>
    <n v="1"/>
  </r>
  <r>
    <s v="USR-100105"/>
    <d v="2025-01-05T00:00:00"/>
    <x v="0"/>
    <s v="South"/>
    <x v="1"/>
    <x v="4"/>
    <s v="Free"/>
    <n v="1"/>
    <n v="1"/>
    <n v="1"/>
    <n v="0"/>
    <n v="0"/>
    <n v="0"/>
    <n v="0"/>
    <m/>
    <n v="79.599999999999994"/>
    <n v="1"/>
  </r>
  <r>
    <s v="USR-100106"/>
    <d v="2025-01-25T00:00:00"/>
    <x v="0"/>
    <s v="South"/>
    <x v="1"/>
    <x v="4"/>
    <s v="Basic"/>
    <n v="1"/>
    <n v="1"/>
    <n v="1"/>
    <n v="1"/>
    <n v="8610.7199999999993"/>
    <n v="0"/>
    <n v="0"/>
    <n v="6"/>
    <n v="61"/>
    <n v="1"/>
  </r>
  <r>
    <s v="USR-100107"/>
    <d v="2025-01-23T00:00:00"/>
    <x v="0"/>
    <s v="West"/>
    <x v="1"/>
    <x v="0"/>
    <s v="Free"/>
    <n v="1"/>
    <n v="1"/>
    <n v="1"/>
    <n v="0"/>
    <n v="0"/>
    <n v="4"/>
    <n v="0"/>
    <m/>
    <n v="51.1"/>
    <n v="1"/>
  </r>
  <r>
    <s v="USR-100108"/>
    <d v="2025-05-25T00:00:00"/>
    <x v="0"/>
    <s v="East"/>
    <x v="0"/>
    <x v="3"/>
    <s v="Free"/>
    <n v="1"/>
    <n v="0"/>
    <n v="0"/>
    <n v="0"/>
    <n v="0"/>
    <n v="0"/>
    <n v="0"/>
    <m/>
    <n v="92.1"/>
    <n v="1"/>
  </r>
  <r>
    <s v="USR-100109"/>
    <d v="2025-03-22T00:00:00"/>
    <x v="0"/>
    <s v="South"/>
    <x v="1"/>
    <x v="3"/>
    <s v="Basic"/>
    <n v="0"/>
    <n v="0"/>
    <n v="0"/>
    <n v="0"/>
    <n v="0"/>
    <n v="0"/>
    <n v="0"/>
    <m/>
    <n v="82.1"/>
    <n v="1"/>
  </r>
  <r>
    <s v="USR-100110"/>
    <d v="2025-02-12T00:00:00"/>
    <x v="0"/>
    <s v="West"/>
    <x v="0"/>
    <x v="2"/>
    <s v="Basic"/>
    <n v="1"/>
    <n v="0"/>
    <n v="0"/>
    <n v="0"/>
    <n v="0"/>
    <n v="1"/>
    <n v="0"/>
    <m/>
    <n v="74"/>
    <n v="1"/>
  </r>
  <r>
    <s v="USR-100111"/>
    <d v="2025-04-28T00:00:00"/>
    <x v="0"/>
    <s v="West"/>
    <x v="0"/>
    <x v="1"/>
    <s v="Basic"/>
    <n v="1"/>
    <n v="0"/>
    <n v="0"/>
    <n v="0"/>
    <n v="0"/>
    <n v="0"/>
    <n v="0"/>
    <m/>
    <n v="63.4"/>
    <n v="1"/>
  </r>
  <r>
    <s v="USR-100112"/>
    <d v="2025-01-30T00:00:00"/>
    <x v="0"/>
    <s v="North"/>
    <x v="1"/>
    <x v="1"/>
    <s v="Basic"/>
    <n v="1"/>
    <n v="0"/>
    <n v="0"/>
    <n v="0"/>
    <n v="0"/>
    <n v="0"/>
    <n v="0"/>
    <m/>
    <n v="53.2"/>
    <n v="1"/>
  </r>
  <r>
    <s v="USR-100113"/>
    <d v="2025-05-19T00:00:00"/>
    <x v="0"/>
    <s v="East"/>
    <x v="2"/>
    <x v="2"/>
    <s v="Free"/>
    <n v="0"/>
    <n v="0"/>
    <n v="0"/>
    <n v="0"/>
    <n v="0"/>
    <n v="0"/>
    <n v="0"/>
    <m/>
    <n v="48.1"/>
    <n v="1"/>
  </r>
  <r>
    <s v="USR-100114"/>
    <d v="2025-01-23T00:00:00"/>
    <x v="0"/>
    <s v="South"/>
    <x v="1"/>
    <x v="4"/>
    <s v="Free"/>
    <n v="1"/>
    <n v="1"/>
    <n v="0"/>
    <n v="0"/>
    <n v="0"/>
    <n v="0"/>
    <n v="0"/>
    <m/>
    <n v="61.5"/>
    <n v="1"/>
  </r>
  <r>
    <s v="USR-100115"/>
    <d v="2025-03-28T00:00:00"/>
    <x v="0"/>
    <s v="East"/>
    <x v="0"/>
    <x v="4"/>
    <s v="Free"/>
    <n v="1"/>
    <n v="0"/>
    <n v="0"/>
    <n v="0"/>
    <n v="0"/>
    <n v="0"/>
    <n v="0"/>
    <m/>
    <n v="63.2"/>
    <n v="1"/>
  </r>
  <r>
    <s v="USR-100116"/>
    <d v="2025-01-11T00:00:00"/>
    <x v="0"/>
    <s v="West"/>
    <x v="1"/>
    <x v="1"/>
    <s v="Free"/>
    <n v="0"/>
    <n v="0"/>
    <n v="0"/>
    <n v="0"/>
    <n v="0"/>
    <n v="0"/>
    <n v="0"/>
    <m/>
    <n v="71.900000000000006"/>
    <n v="1"/>
  </r>
  <r>
    <s v="USR-100117"/>
    <d v="2025-04-11T00:00:00"/>
    <x v="0"/>
    <s v="North"/>
    <x v="1"/>
    <x v="3"/>
    <s v="Free"/>
    <n v="0"/>
    <n v="0"/>
    <n v="0"/>
    <n v="0"/>
    <n v="0"/>
    <n v="0"/>
    <n v="0"/>
    <m/>
    <n v="62.7"/>
    <n v="1"/>
  </r>
  <r>
    <s v="USR-100118"/>
    <d v="2025-01-02T00:00:00"/>
    <x v="0"/>
    <s v="West"/>
    <x v="1"/>
    <x v="2"/>
    <s v="Free"/>
    <n v="1"/>
    <n v="0"/>
    <n v="0"/>
    <n v="0"/>
    <n v="0"/>
    <n v="0"/>
    <n v="0"/>
    <m/>
    <n v="51.5"/>
    <n v="1"/>
  </r>
  <r>
    <s v="USR-100119"/>
    <d v="2025-03-18T00:00:00"/>
    <x v="0"/>
    <s v="East"/>
    <x v="1"/>
    <x v="4"/>
    <s v="Free"/>
    <n v="1"/>
    <n v="1"/>
    <n v="1"/>
    <n v="0"/>
    <n v="0"/>
    <n v="0"/>
    <n v="0"/>
    <m/>
    <n v="39.1"/>
    <n v="1"/>
  </r>
  <r>
    <s v="USR-100120"/>
    <d v="2025-03-31T00:00:00"/>
    <x v="0"/>
    <s v="North"/>
    <x v="1"/>
    <x v="0"/>
    <s v="Free"/>
    <n v="1"/>
    <n v="0"/>
    <n v="0"/>
    <n v="0"/>
    <n v="0"/>
    <n v="0"/>
    <n v="0"/>
    <m/>
    <n v="43.8"/>
    <n v="1"/>
  </r>
  <r>
    <s v="USR-100121"/>
    <d v="2025-01-06T00:00:00"/>
    <x v="0"/>
    <s v="North"/>
    <x v="1"/>
    <x v="2"/>
    <s v="Basic"/>
    <n v="1"/>
    <n v="0"/>
    <n v="0"/>
    <n v="0"/>
    <n v="0"/>
    <n v="0"/>
    <n v="0"/>
    <m/>
    <n v="59.9"/>
    <n v="1"/>
  </r>
  <r>
    <s v="USR-100122"/>
    <d v="2025-01-26T00:00:00"/>
    <x v="0"/>
    <s v="North"/>
    <x v="1"/>
    <x v="3"/>
    <s v="Free"/>
    <n v="1"/>
    <n v="1"/>
    <n v="0"/>
    <n v="0"/>
    <n v="0"/>
    <n v="0"/>
    <n v="0"/>
    <m/>
    <n v="71.400000000000006"/>
    <n v="1"/>
  </r>
  <r>
    <s v="USR-100123"/>
    <d v="2025-04-22T00:00:00"/>
    <x v="0"/>
    <s v="South"/>
    <x v="1"/>
    <x v="3"/>
    <s v="Basic"/>
    <n v="0"/>
    <n v="0"/>
    <n v="0"/>
    <n v="0"/>
    <n v="0"/>
    <n v="0"/>
    <n v="0"/>
    <m/>
    <n v="36.1"/>
    <n v="1"/>
  </r>
  <r>
    <s v="USR-100124"/>
    <d v="2025-05-30T00:00:00"/>
    <x v="0"/>
    <s v="West"/>
    <x v="3"/>
    <x v="0"/>
    <s v="Basic"/>
    <n v="1"/>
    <n v="1"/>
    <n v="0"/>
    <n v="0"/>
    <n v="0"/>
    <n v="0"/>
    <n v="0"/>
    <m/>
    <n v="47.9"/>
    <n v="1"/>
  </r>
  <r>
    <s v="USR-100125"/>
    <d v="2025-05-18T00:00:00"/>
    <x v="0"/>
    <s v="West"/>
    <x v="0"/>
    <x v="1"/>
    <s v="Premium"/>
    <n v="1"/>
    <n v="0"/>
    <n v="0"/>
    <n v="0"/>
    <n v="0"/>
    <n v="0"/>
    <n v="0"/>
    <m/>
    <n v="62.5"/>
    <n v="1"/>
  </r>
  <r>
    <s v="USR-100126"/>
    <d v="2025-01-13T00:00:00"/>
    <x v="0"/>
    <s v="South"/>
    <x v="0"/>
    <x v="2"/>
    <s v="Premium"/>
    <n v="1"/>
    <n v="0"/>
    <n v="0"/>
    <n v="0"/>
    <n v="0"/>
    <n v="0"/>
    <n v="0"/>
    <m/>
    <n v="56.9"/>
    <n v="1"/>
  </r>
  <r>
    <s v="USR-100127"/>
    <d v="2025-03-25T00:00:00"/>
    <x v="0"/>
    <s v="North"/>
    <x v="0"/>
    <x v="0"/>
    <s v="Free"/>
    <n v="0"/>
    <n v="0"/>
    <n v="0"/>
    <n v="0"/>
    <n v="0"/>
    <n v="0"/>
    <n v="0"/>
    <m/>
    <n v="64.7"/>
    <n v="1"/>
  </r>
  <r>
    <s v="USR-100128"/>
    <d v="2025-04-29T00:00:00"/>
    <x v="0"/>
    <s v="South"/>
    <x v="0"/>
    <x v="1"/>
    <s v="Free"/>
    <n v="1"/>
    <n v="1"/>
    <n v="1"/>
    <n v="0"/>
    <n v="0"/>
    <n v="0"/>
    <n v="0"/>
    <m/>
    <n v="64"/>
    <n v="1"/>
  </r>
  <r>
    <s v="USR-100129"/>
    <d v="2025-05-17T00:00:00"/>
    <x v="0"/>
    <s v="East"/>
    <x v="1"/>
    <x v="3"/>
    <s v="Basic"/>
    <n v="1"/>
    <n v="1"/>
    <n v="1"/>
    <n v="0"/>
    <n v="0"/>
    <n v="0"/>
    <n v="0"/>
    <m/>
    <n v="75.2"/>
    <n v="1"/>
  </r>
  <r>
    <s v="USR-100130"/>
    <d v="2025-01-02T00:00:00"/>
    <x v="0"/>
    <s v="North"/>
    <x v="1"/>
    <x v="2"/>
    <s v="Free"/>
    <n v="1"/>
    <n v="0"/>
    <n v="0"/>
    <n v="0"/>
    <n v="0"/>
    <n v="1"/>
    <n v="0"/>
    <m/>
    <n v="79"/>
    <n v="1"/>
  </r>
  <r>
    <s v="USR-100131"/>
    <d v="2025-02-03T00:00:00"/>
    <x v="0"/>
    <s v="South"/>
    <x v="1"/>
    <x v="1"/>
    <s v="Free"/>
    <n v="0"/>
    <n v="0"/>
    <n v="0"/>
    <n v="0"/>
    <n v="0"/>
    <n v="0"/>
    <n v="0"/>
    <m/>
    <n v="33"/>
    <n v="1"/>
  </r>
  <r>
    <s v="USR-100132"/>
    <d v="2025-03-04T00:00:00"/>
    <x v="0"/>
    <s v="East"/>
    <x v="1"/>
    <x v="1"/>
    <s v="Free"/>
    <n v="1"/>
    <n v="0"/>
    <n v="0"/>
    <n v="0"/>
    <n v="0"/>
    <n v="0"/>
    <n v="0"/>
    <m/>
    <n v="67.900000000000006"/>
    <n v="1"/>
  </r>
  <r>
    <s v="USR-100133"/>
    <d v="2025-01-26T00:00:00"/>
    <x v="0"/>
    <s v="South"/>
    <x v="1"/>
    <x v="2"/>
    <s v="Basic"/>
    <n v="0"/>
    <n v="0"/>
    <n v="0"/>
    <n v="0"/>
    <n v="0"/>
    <n v="0"/>
    <n v="0"/>
    <m/>
    <n v="42.2"/>
    <n v="1"/>
  </r>
  <r>
    <s v="USR-100134"/>
    <d v="2025-05-12T00:00:00"/>
    <x v="0"/>
    <s v="West"/>
    <x v="1"/>
    <x v="2"/>
    <s v="Basic"/>
    <n v="1"/>
    <n v="1"/>
    <n v="1"/>
    <n v="0"/>
    <n v="0"/>
    <n v="0"/>
    <n v="0"/>
    <m/>
    <n v="43.4"/>
    <n v="1"/>
  </r>
  <r>
    <s v="USR-100135"/>
    <d v="2025-03-06T00:00:00"/>
    <x v="0"/>
    <s v="North"/>
    <x v="1"/>
    <x v="1"/>
    <s v="Basic"/>
    <n v="0"/>
    <n v="0"/>
    <n v="0"/>
    <n v="0"/>
    <n v="0"/>
    <n v="0"/>
    <n v="0"/>
    <m/>
    <n v="54.4"/>
    <n v="1"/>
  </r>
  <r>
    <s v="USR-100136"/>
    <d v="2025-03-10T00:00:00"/>
    <x v="0"/>
    <s v="South"/>
    <x v="0"/>
    <x v="0"/>
    <s v="Premium"/>
    <n v="0"/>
    <n v="0"/>
    <n v="0"/>
    <n v="0"/>
    <n v="0"/>
    <n v="0"/>
    <n v="0"/>
    <m/>
    <n v="45.7"/>
    <n v="1"/>
  </r>
  <r>
    <s v="USR-100137"/>
    <d v="2025-05-06T00:00:00"/>
    <x v="0"/>
    <s v="North"/>
    <x v="1"/>
    <x v="2"/>
    <s v="Free"/>
    <n v="0"/>
    <n v="0"/>
    <n v="0"/>
    <n v="0"/>
    <n v="0"/>
    <n v="3"/>
    <n v="0"/>
    <m/>
    <n v="32"/>
    <n v="1"/>
  </r>
  <r>
    <s v="USR-100138"/>
    <d v="2025-02-23T00:00:00"/>
    <x v="0"/>
    <s v="South"/>
    <x v="0"/>
    <x v="2"/>
    <s v="Free"/>
    <n v="1"/>
    <n v="0"/>
    <n v="0"/>
    <n v="0"/>
    <n v="0"/>
    <n v="0"/>
    <n v="0"/>
    <m/>
    <n v="70.900000000000006"/>
    <n v="1"/>
  </r>
  <r>
    <s v="USR-100139"/>
    <d v="2025-01-29T00:00:00"/>
    <x v="0"/>
    <s v="West"/>
    <x v="1"/>
    <x v="4"/>
    <s v="Basic"/>
    <n v="1"/>
    <n v="1"/>
    <n v="1"/>
    <n v="0"/>
    <n v="0"/>
    <n v="0"/>
    <n v="0"/>
    <m/>
    <n v="59.1"/>
    <n v="1"/>
  </r>
  <r>
    <s v="USR-100140"/>
    <d v="2025-01-31T00:00:00"/>
    <x v="0"/>
    <s v="North"/>
    <x v="1"/>
    <x v="1"/>
    <s v="Basic"/>
    <n v="0"/>
    <n v="0"/>
    <n v="0"/>
    <n v="0"/>
    <n v="0"/>
    <n v="0"/>
    <n v="0"/>
    <m/>
    <n v="62.4"/>
    <n v="1"/>
  </r>
  <r>
    <s v="USR-100141"/>
    <d v="2025-01-19T00:00:00"/>
    <x v="0"/>
    <s v="South"/>
    <x v="1"/>
    <x v="1"/>
    <s v="Free"/>
    <n v="0"/>
    <n v="0"/>
    <n v="0"/>
    <n v="0"/>
    <n v="0"/>
    <n v="0"/>
    <n v="0"/>
    <m/>
    <n v="49.6"/>
    <n v="1"/>
  </r>
  <r>
    <s v="USR-100142"/>
    <d v="2025-04-03T00:00:00"/>
    <x v="0"/>
    <s v="West"/>
    <x v="0"/>
    <x v="4"/>
    <s v="Free"/>
    <n v="1"/>
    <n v="1"/>
    <n v="1"/>
    <n v="1"/>
    <n v="404.4"/>
    <n v="0"/>
    <n v="0"/>
    <n v="9"/>
    <n v="80.599999999999994"/>
    <n v="1"/>
  </r>
  <r>
    <s v="USR-100143"/>
    <d v="2025-04-07T00:00:00"/>
    <x v="0"/>
    <s v="North"/>
    <x v="1"/>
    <x v="2"/>
    <s v="Free"/>
    <n v="1"/>
    <n v="0"/>
    <n v="0"/>
    <n v="0"/>
    <n v="0"/>
    <n v="0"/>
    <n v="0"/>
    <m/>
    <n v="47.9"/>
    <n v="1"/>
  </r>
  <r>
    <s v="USR-100144"/>
    <d v="2025-01-06T00:00:00"/>
    <x v="0"/>
    <s v="East"/>
    <x v="1"/>
    <x v="2"/>
    <s v="Basic"/>
    <n v="1"/>
    <n v="1"/>
    <n v="0"/>
    <n v="0"/>
    <n v="0"/>
    <n v="0"/>
    <n v="0"/>
    <m/>
    <n v="54.8"/>
    <n v="1"/>
  </r>
  <r>
    <s v="USR-100145"/>
    <d v="2025-04-11T00:00:00"/>
    <x v="0"/>
    <s v="East"/>
    <x v="1"/>
    <x v="1"/>
    <s v="Free"/>
    <n v="1"/>
    <n v="0"/>
    <n v="0"/>
    <n v="0"/>
    <n v="0"/>
    <n v="1"/>
    <n v="0"/>
    <m/>
    <n v="53.9"/>
    <n v="1"/>
  </r>
  <r>
    <s v="USR-100146"/>
    <d v="2025-04-23T00:00:00"/>
    <x v="0"/>
    <s v="East"/>
    <x v="1"/>
    <x v="2"/>
    <s v="Free"/>
    <n v="1"/>
    <n v="0"/>
    <n v="0"/>
    <n v="0"/>
    <n v="0"/>
    <n v="0"/>
    <n v="0"/>
    <m/>
    <n v="41.3"/>
    <n v="1"/>
  </r>
  <r>
    <s v="USR-100147"/>
    <d v="2025-03-25T00:00:00"/>
    <x v="0"/>
    <s v="West"/>
    <x v="1"/>
    <x v="1"/>
    <s v="Basic"/>
    <n v="1"/>
    <n v="1"/>
    <n v="0"/>
    <n v="0"/>
    <n v="0"/>
    <n v="0"/>
    <n v="0"/>
    <m/>
    <n v="38.9"/>
    <n v="1"/>
  </r>
  <r>
    <s v="USR-100148"/>
    <d v="2025-05-25T00:00:00"/>
    <x v="0"/>
    <s v="South"/>
    <x v="0"/>
    <x v="1"/>
    <s v="Basic"/>
    <n v="1"/>
    <n v="0"/>
    <n v="0"/>
    <n v="0"/>
    <n v="0"/>
    <n v="0"/>
    <n v="0"/>
    <m/>
    <n v="63.6"/>
    <n v="1"/>
  </r>
  <r>
    <s v="USR-100149"/>
    <d v="2025-01-28T00:00:00"/>
    <x v="0"/>
    <s v="North"/>
    <x v="1"/>
    <x v="1"/>
    <s v="Free"/>
    <n v="1"/>
    <n v="1"/>
    <n v="1"/>
    <n v="1"/>
    <n v="577.94000000000005"/>
    <n v="0"/>
    <n v="0"/>
    <n v="9"/>
    <n v="76.599999999999994"/>
    <n v="1"/>
  </r>
  <r>
    <s v="USR-100150"/>
    <d v="2025-02-12T00:00:00"/>
    <x v="0"/>
    <s v="West"/>
    <x v="1"/>
    <x v="2"/>
    <s v="Premium"/>
    <n v="0"/>
    <n v="0"/>
    <n v="0"/>
    <n v="0"/>
    <n v="0"/>
    <n v="1"/>
    <n v="0"/>
    <m/>
    <n v="67.599999999999994"/>
    <n v="1"/>
  </r>
  <r>
    <s v="USR-100151"/>
    <d v="2025-04-29T00:00:00"/>
    <x v="0"/>
    <s v="North"/>
    <x v="1"/>
    <x v="4"/>
    <s v="Premium"/>
    <n v="1"/>
    <n v="0"/>
    <n v="0"/>
    <n v="0"/>
    <n v="0"/>
    <n v="0"/>
    <n v="0"/>
    <m/>
    <n v="43.1"/>
    <n v="1"/>
  </r>
  <r>
    <s v="USR-100152"/>
    <d v="2025-03-13T00:00:00"/>
    <x v="0"/>
    <s v="South"/>
    <x v="1"/>
    <x v="0"/>
    <s v="Free"/>
    <n v="1"/>
    <n v="0"/>
    <n v="0"/>
    <n v="0"/>
    <n v="0"/>
    <n v="0"/>
    <n v="0"/>
    <m/>
    <n v="58.3"/>
    <n v="1"/>
  </r>
  <r>
    <s v="USR-100153"/>
    <d v="2025-02-04T00:00:00"/>
    <x v="0"/>
    <s v="East"/>
    <x v="0"/>
    <x v="2"/>
    <s v="Free"/>
    <n v="1"/>
    <n v="0"/>
    <n v="0"/>
    <n v="0"/>
    <n v="0"/>
    <n v="0"/>
    <n v="0"/>
    <m/>
    <n v="69.8"/>
    <n v="1"/>
  </r>
  <r>
    <s v="USR-100154"/>
    <d v="2025-03-04T00:00:00"/>
    <x v="0"/>
    <s v="South"/>
    <x v="1"/>
    <x v="3"/>
    <s v="Free"/>
    <n v="1"/>
    <n v="1"/>
    <n v="0"/>
    <n v="0"/>
    <n v="0"/>
    <n v="0"/>
    <n v="0"/>
    <m/>
    <m/>
    <n v="1"/>
  </r>
  <r>
    <s v="USR-100155"/>
    <d v="2025-02-04T00:00:00"/>
    <x v="0"/>
    <s v="West"/>
    <x v="1"/>
    <x v="2"/>
    <s v="Basic"/>
    <n v="1"/>
    <n v="1"/>
    <n v="0"/>
    <n v="0"/>
    <n v="0"/>
    <n v="0"/>
    <n v="0"/>
    <m/>
    <n v="41.9"/>
    <n v="1"/>
  </r>
  <r>
    <s v="USR-100156"/>
    <d v="2025-03-11T00:00:00"/>
    <x v="0"/>
    <s v="North"/>
    <x v="0"/>
    <x v="1"/>
    <s v="Free"/>
    <n v="0"/>
    <n v="0"/>
    <n v="0"/>
    <n v="0"/>
    <n v="0"/>
    <n v="0"/>
    <n v="0"/>
    <m/>
    <n v="33.1"/>
    <n v="1"/>
  </r>
  <r>
    <s v="USR-100157"/>
    <d v="2025-04-22T00:00:00"/>
    <x v="0"/>
    <s v="West"/>
    <x v="1"/>
    <x v="1"/>
    <s v="Free"/>
    <n v="0"/>
    <n v="0"/>
    <n v="0"/>
    <n v="0"/>
    <n v="0"/>
    <n v="0"/>
    <n v="0"/>
    <m/>
    <n v="58.6"/>
    <n v="1"/>
  </r>
  <r>
    <s v="USR-100158"/>
    <d v="2025-03-08T00:00:00"/>
    <x v="0"/>
    <s v="North"/>
    <x v="0"/>
    <x v="2"/>
    <s v="Free"/>
    <n v="0"/>
    <n v="0"/>
    <n v="0"/>
    <n v="0"/>
    <n v="0"/>
    <n v="0"/>
    <n v="0"/>
    <m/>
    <n v="55.7"/>
    <n v="1"/>
  </r>
  <r>
    <s v="USR-100159"/>
    <d v="2025-03-10T00:00:00"/>
    <x v="0"/>
    <s v="East"/>
    <x v="1"/>
    <x v="1"/>
    <s v="Free"/>
    <n v="0"/>
    <n v="0"/>
    <n v="0"/>
    <n v="0"/>
    <n v="0"/>
    <n v="2"/>
    <n v="0"/>
    <m/>
    <n v="64.900000000000006"/>
    <n v="1"/>
  </r>
  <r>
    <s v="USR-100160"/>
    <d v="2025-05-18T00:00:00"/>
    <x v="0"/>
    <s v="North"/>
    <x v="0"/>
    <x v="2"/>
    <s v="Basic"/>
    <n v="0"/>
    <n v="0"/>
    <n v="0"/>
    <n v="0"/>
    <n v="0"/>
    <n v="0"/>
    <n v="0"/>
    <m/>
    <n v="72.3"/>
    <n v="1"/>
  </r>
  <r>
    <s v="USR-100161"/>
    <d v="2025-05-14T00:00:00"/>
    <x v="0"/>
    <s v="North"/>
    <x v="1"/>
    <x v="4"/>
    <s v="Basic"/>
    <n v="0"/>
    <n v="0"/>
    <n v="0"/>
    <n v="0"/>
    <n v="0"/>
    <n v="0"/>
    <n v="0"/>
    <m/>
    <n v="42.1"/>
    <n v="1"/>
  </r>
  <r>
    <s v="USR-100162"/>
    <d v="2025-02-01T00:00:00"/>
    <x v="0"/>
    <s v="North"/>
    <x v="1"/>
    <x v="1"/>
    <s v="Free"/>
    <n v="0"/>
    <n v="0"/>
    <n v="0"/>
    <n v="0"/>
    <n v="0"/>
    <n v="0"/>
    <n v="0"/>
    <m/>
    <m/>
    <n v="1"/>
  </r>
  <r>
    <s v="USR-100163"/>
    <d v="2025-04-11T00:00:00"/>
    <x v="0"/>
    <s v="South"/>
    <x v="1"/>
    <x v="1"/>
    <s v="Basic"/>
    <n v="0"/>
    <n v="0"/>
    <n v="0"/>
    <n v="0"/>
    <n v="0"/>
    <n v="1"/>
    <n v="0"/>
    <m/>
    <n v="64.8"/>
    <n v="1"/>
  </r>
  <r>
    <s v="USR-100164"/>
    <d v="2025-02-14T00:00:00"/>
    <x v="0"/>
    <s v="East"/>
    <x v="1"/>
    <x v="1"/>
    <s v="Free"/>
    <n v="0"/>
    <n v="0"/>
    <n v="0"/>
    <n v="0"/>
    <n v="0"/>
    <n v="0"/>
    <n v="0"/>
    <m/>
    <n v="72.099999999999994"/>
    <n v="1"/>
  </r>
  <r>
    <s v="USR-100165"/>
    <d v="2025-05-19T00:00:00"/>
    <x v="0"/>
    <s v="East"/>
    <x v="1"/>
    <x v="4"/>
    <s v="Free"/>
    <n v="1"/>
    <n v="0"/>
    <n v="0"/>
    <n v="0"/>
    <n v="0"/>
    <n v="0"/>
    <n v="0"/>
    <m/>
    <n v="50.6"/>
    <n v="1"/>
  </r>
  <r>
    <s v="USR-100166"/>
    <d v="2025-04-26T00:00:00"/>
    <x v="0"/>
    <s v="North"/>
    <x v="0"/>
    <x v="2"/>
    <s v="Basic"/>
    <n v="1"/>
    <n v="1"/>
    <n v="1"/>
    <n v="1"/>
    <n v="1281.25"/>
    <n v="1"/>
    <n v="0"/>
    <n v="9"/>
    <n v="43.4"/>
    <n v="1"/>
  </r>
  <r>
    <s v="USR-100167"/>
    <d v="2025-04-06T00:00:00"/>
    <x v="0"/>
    <s v="South"/>
    <x v="1"/>
    <x v="4"/>
    <s v="Free"/>
    <n v="1"/>
    <n v="0"/>
    <n v="0"/>
    <n v="0"/>
    <n v="0"/>
    <n v="0"/>
    <n v="0"/>
    <m/>
    <n v="59.7"/>
    <n v="1"/>
  </r>
  <r>
    <s v="USR-100168"/>
    <d v="2025-03-06T00:00:00"/>
    <x v="0"/>
    <s v="South"/>
    <x v="1"/>
    <x v="2"/>
    <s v="Free"/>
    <n v="1"/>
    <n v="0"/>
    <n v="0"/>
    <n v="0"/>
    <n v="0"/>
    <n v="1"/>
    <n v="0"/>
    <m/>
    <m/>
    <n v="1"/>
  </r>
  <r>
    <s v="USR-100169"/>
    <d v="2025-03-10T00:00:00"/>
    <x v="0"/>
    <s v="West"/>
    <x v="1"/>
    <x v="4"/>
    <s v="Basic"/>
    <n v="0"/>
    <n v="0"/>
    <n v="0"/>
    <n v="0"/>
    <n v="0"/>
    <n v="0"/>
    <n v="0"/>
    <m/>
    <n v="54.5"/>
    <n v="1"/>
  </r>
  <r>
    <s v="USR-100170"/>
    <d v="2025-03-30T00:00:00"/>
    <x v="0"/>
    <s v="North"/>
    <x v="1"/>
    <x v="1"/>
    <s v="Free"/>
    <n v="1"/>
    <n v="0"/>
    <n v="0"/>
    <n v="0"/>
    <n v="0"/>
    <n v="0"/>
    <n v="0"/>
    <m/>
    <n v="71.099999999999994"/>
    <n v="1"/>
  </r>
  <r>
    <s v="USR-100171"/>
    <d v="2025-05-29T00:00:00"/>
    <x v="0"/>
    <s v="East"/>
    <x v="3"/>
    <x v="2"/>
    <s v="Free"/>
    <n v="1"/>
    <n v="1"/>
    <n v="1"/>
    <n v="0"/>
    <n v="0"/>
    <n v="0"/>
    <n v="0"/>
    <m/>
    <n v="44.4"/>
    <n v="1"/>
  </r>
  <r>
    <s v="USR-100172"/>
    <d v="2025-03-23T00:00:00"/>
    <x v="0"/>
    <s v="North"/>
    <x v="1"/>
    <x v="1"/>
    <s v="Free"/>
    <n v="1"/>
    <n v="0"/>
    <n v="0"/>
    <n v="0"/>
    <n v="0"/>
    <n v="0"/>
    <n v="0"/>
    <m/>
    <n v="61.7"/>
    <n v="1"/>
  </r>
  <r>
    <s v="USR-100173"/>
    <d v="2025-02-18T00:00:00"/>
    <x v="0"/>
    <s v="North"/>
    <x v="2"/>
    <x v="1"/>
    <s v="Basic"/>
    <n v="0"/>
    <n v="0"/>
    <n v="0"/>
    <n v="0"/>
    <n v="0"/>
    <n v="1"/>
    <n v="0"/>
    <m/>
    <n v="81.3"/>
    <n v="1"/>
  </r>
  <r>
    <s v="USR-100174"/>
    <d v="2025-01-26T00:00:00"/>
    <x v="0"/>
    <s v="North"/>
    <x v="0"/>
    <x v="0"/>
    <s v="Free"/>
    <n v="1"/>
    <n v="0"/>
    <n v="0"/>
    <n v="0"/>
    <n v="0"/>
    <n v="2"/>
    <n v="0"/>
    <m/>
    <n v="28.7"/>
    <n v="1"/>
  </r>
  <r>
    <s v="USR-100175"/>
    <d v="2025-04-23T00:00:00"/>
    <x v="0"/>
    <s v="East"/>
    <x v="1"/>
    <x v="4"/>
    <s v="Basic"/>
    <n v="0"/>
    <n v="0"/>
    <n v="0"/>
    <n v="0"/>
    <n v="0"/>
    <n v="0"/>
    <n v="0"/>
    <m/>
    <n v="53"/>
    <n v="1"/>
  </r>
  <r>
    <s v="USR-100176"/>
    <d v="2025-03-16T00:00:00"/>
    <x v="0"/>
    <s v="South"/>
    <x v="2"/>
    <x v="3"/>
    <s v="Basic"/>
    <n v="1"/>
    <n v="0"/>
    <n v="0"/>
    <n v="0"/>
    <n v="0"/>
    <n v="0"/>
    <n v="0"/>
    <m/>
    <n v="54.9"/>
    <n v="1"/>
  </r>
  <r>
    <s v="USR-100177"/>
    <d v="2025-04-29T00:00:00"/>
    <x v="0"/>
    <s v="West"/>
    <x v="1"/>
    <x v="1"/>
    <s v="Basic"/>
    <n v="1"/>
    <n v="0"/>
    <n v="0"/>
    <n v="0"/>
    <n v="0"/>
    <n v="0"/>
    <n v="0"/>
    <m/>
    <n v="58.2"/>
    <n v="1"/>
  </r>
  <r>
    <s v="USR-100178"/>
    <d v="2025-04-06T00:00:00"/>
    <x v="0"/>
    <s v="North"/>
    <x v="1"/>
    <x v="1"/>
    <s v="Free"/>
    <n v="0"/>
    <n v="0"/>
    <n v="0"/>
    <n v="0"/>
    <n v="0"/>
    <n v="0"/>
    <n v="0"/>
    <m/>
    <n v="80.599999999999994"/>
    <n v="1"/>
  </r>
  <r>
    <s v="USR-100179"/>
    <d v="2025-04-17T00:00:00"/>
    <x v="0"/>
    <s v="North"/>
    <x v="0"/>
    <x v="3"/>
    <s v="Premium"/>
    <n v="1"/>
    <n v="1"/>
    <n v="1"/>
    <n v="0"/>
    <n v="0"/>
    <n v="0"/>
    <n v="0"/>
    <m/>
    <n v="38.4"/>
    <n v="1"/>
  </r>
  <r>
    <s v="USR-100180"/>
    <d v="2025-04-03T00:00:00"/>
    <x v="0"/>
    <s v="South"/>
    <x v="1"/>
    <x v="2"/>
    <s v="Free"/>
    <n v="1"/>
    <n v="0"/>
    <n v="0"/>
    <n v="0"/>
    <n v="0"/>
    <n v="0"/>
    <n v="0"/>
    <m/>
    <n v="56.1"/>
    <n v="1"/>
  </r>
  <r>
    <s v="USR-100181"/>
    <d v="2025-04-25T00:00:00"/>
    <x v="0"/>
    <s v="West"/>
    <x v="1"/>
    <x v="2"/>
    <s v="Free"/>
    <n v="0"/>
    <n v="0"/>
    <n v="0"/>
    <n v="0"/>
    <n v="0"/>
    <n v="0"/>
    <n v="0"/>
    <m/>
    <n v="62.6"/>
    <n v="1"/>
  </r>
  <r>
    <s v="USR-100182"/>
    <d v="2025-04-30T00:00:00"/>
    <x v="0"/>
    <s v="South"/>
    <x v="1"/>
    <x v="1"/>
    <s v="Premium"/>
    <n v="0"/>
    <n v="0"/>
    <n v="0"/>
    <n v="0"/>
    <n v="0"/>
    <n v="0"/>
    <n v="0"/>
    <m/>
    <n v="36.299999999999997"/>
    <n v="1"/>
  </r>
  <r>
    <s v="USR-100183"/>
    <d v="2025-03-12T00:00:00"/>
    <x v="0"/>
    <s v="South"/>
    <x v="1"/>
    <x v="2"/>
    <s v="Free"/>
    <n v="1"/>
    <n v="0"/>
    <n v="0"/>
    <n v="0"/>
    <n v="0"/>
    <n v="0"/>
    <n v="0"/>
    <m/>
    <n v="52.1"/>
    <n v="1"/>
  </r>
  <r>
    <s v="USR-100184"/>
    <d v="2025-05-04T00:00:00"/>
    <x v="0"/>
    <s v="South"/>
    <x v="1"/>
    <x v="1"/>
    <s v="Free"/>
    <n v="1"/>
    <n v="0"/>
    <n v="0"/>
    <n v="0"/>
    <n v="0"/>
    <n v="0"/>
    <n v="0"/>
    <m/>
    <n v="45.1"/>
    <n v="1"/>
  </r>
  <r>
    <s v="USR-100185"/>
    <d v="2025-02-07T00:00:00"/>
    <x v="0"/>
    <s v="South"/>
    <x v="2"/>
    <x v="2"/>
    <s v="Premium"/>
    <n v="0"/>
    <n v="0"/>
    <n v="0"/>
    <n v="0"/>
    <n v="0"/>
    <n v="0"/>
    <n v="0"/>
    <m/>
    <n v="67.5"/>
    <n v="1"/>
  </r>
  <r>
    <s v="USR-100186"/>
    <d v="2025-04-28T00:00:00"/>
    <x v="0"/>
    <s v="East"/>
    <x v="2"/>
    <x v="0"/>
    <s v="Basic"/>
    <n v="1"/>
    <n v="1"/>
    <n v="1"/>
    <n v="0"/>
    <n v="0"/>
    <n v="0"/>
    <n v="0"/>
    <m/>
    <n v="80"/>
    <n v="1"/>
  </r>
  <r>
    <s v="USR-100187"/>
    <d v="2025-05-15T00:00:00"/>
    <x v="0"/>
    <s v="East"/>
    <x v="0"/>
    <x v="3"/>
    <s v="Free"/>
    <n v="0"/>
    <n v="0"/>
    <n v="0"/>
    <n v="0"/>
    <n v="0"/>
    <n v="0"/>
    <n v="0"/>
    <m/>
    <n v="56.4"/>
    <n v="1"/>
  </r>
  <r>
    <s v="USR-100188"/>
    <d v="2025-01-18T00:00:00"/>
    <x v="0"/>
    <s v="West"/>
    <x v="1"/>
    <x v="2"/>
    <s v="Basic"/>
    <n v="0"/>
    <n v="0"/>
    <n v="0"/>
    <n v="0"/>
    <n v="0"/>
    <n v="0"/>
    <n v="0"/>
    <m/>
    <n v="55.4"/>
    <n v="1"/>
  </r>
  <r>
    <s v="USR-100189"/>
    <d v="2025-02-15T00:00:00"/>
    <x v="0"/>
    <s v="South"/>
    <x v="1"/>
    <x v="4"/>
    <s v="Basic"/>
    <n v="1"/>
    <n v="0"/>
    <n v="0"/>
    <n v="0"/>
    <n v="0"/>
    <n v="0"/>
    <n v="0"/>
    <m/>
    <n v="67.900000000000006"/>
    <n v="1"/>
  </r>
  <r>
    <s v="USR-100190"/>
    <d v="2025-02-18T00:00:00"/>
    <x v="0"/>
    <s v="North"/>
    <x v="2"/>
    <x v="0"/>
    <s v="Free"/>
    <n v="1"/>
    <n v="0"/>
    <n v="0"/>
    <n v="0"/>
    <n v="0"/>
    <n v="0"/>
    <n v="0"/>
    <m/>
    <n v="62.5"/>
    <n v="1"/>
  </r>
  <r>
    <s v="USR-100191"/>
    <d v="2025-01-30T00:00:00"/>
    <x v="0"/>
    <s v="South"/>
    <x v="0"/>
    <x v="0"/>
    <s v="Basic"/>
    <n v="1"/>
    <n v="1"/>
    <n v="1"/>
    <n v="0"/>
    <n v="0"/>
    <n v="0"/>
    <n v="0"/>
    <m/>
    <n v="54.3"/>
    <n v="1"/>
  </r>
  <r>
    <s v="USR-100192"/>
    <d v="2025-02-09T00:00:00"/>
    <x v="0"/>
    <s v="South"/>
    <x v="0"/>
    <x v="1"/>
    <s v="Basic"/>
    <n v="1"/>
    <n v="0"/>
    <n v="0"/>
    <n v="0"/>
    <n v="0"/>
    <n v="0"/>
    <n v="0"/>
    <m/>
    <n v="37.5"/>
    <n v="1"/>
  </r>
  <r>
    <s v="USR-100193"/>
    <d v="2025-03-16T00:00:00"/>
    <x v="0"/>
    <s v="West"/>
    <x v="1"/>
    <x v="2"/>
    <s v="Basic"/>
    <n v="1"/>
    <n v="0"/>
    <n v="0"/>
    <n v="0"/>
    <n v="0"/>
    <n v="0"/>
    <n v="0"/>
    <m/>
    <n v="52.6"/>
    <n v="1"/>
  </r>
  <r>
    <s v="USR-100194"/>
    <d v="2025-05-19T00:00:00"/>
    <x v="0"/>
    <s v="North"/>
    <x v="1"/>
    <x v="2"/>
    <s v="Free"/>
    <n v="1"/>
    <n v="0"/>
    <n v="0"/>
    <n v="0"/>
    <n v="0"/>
    <n v="0"/>
    <n v="0"/>
    <m/>
    <n v="46.1"/>
    <n v="1"/>
  </r>
  <r>
    <s v="USR-100195"/>
    <d v="2025-05-16T00:00:00"/>
    <x v="0"/>
    <s v="South"/>
    <x v="0"/>
    <x v="1"/>
    <s v="Basic"/>
    <n v="1"/>
    <n v="0"/>
    <n v="0"/>
    <n v="0"/>
    <n v="0"/>
    <n v="0"/>
    <n v="0"/>
    <m/>
    <n v="54.7"/>
    <n v="1"/>
  </r>
  <r>
    <s v="USR-100196"/>
    <d v="2025-04-25T00:00:00"/>
    <x v="0"/>
    <s v="West"/>
    <x v="0"/>
    <x v="3"/>
    <s v="Basic"/>
    <n v="0"/>
    <n v="0"/>
    <n v="0"/>
    <n v="0"/>
    <n v="0"/>
    <n v="0"/>
    <n v="0"/>
    <m/>
    <n v="74.2"/>
    <n v="1"/>
  </r>
  <r>
    <s v="USR-100197"/>
    <d v="2025-02-27T00:00:00"/>
    <x v="0"/>
    <s v="North"/>
    <x v="1"/>
    <x v="4"/>
    <s v="Basic"/>
    <n v="1"/>
    <n v="1"/>
    <n v="1"/>
    <n v="1"/>
    <n v="1052.8"/>
    <n v="2"/>
    <n v="0"/>
    <n v="6"/>
    <n v="64.7"/>
    <n v="1"/>
  </r>
  <r>
    <s v="USR-100198"/>
    <d v="2025-04-26T00:00:00"/>
    <x v="0"/>
    <s v="South"/>
    <x v="1"/>
    <x v="2"/>
    <s v="Basic"/>
    <n v="0"/>
    <n v="0"/>
    <n v="0"/>
    <n v="0"/>
    <n v="0"/>
    <n v="0"/>
    <n v="0"/>
    <m/>
    <n v="65.900000000000006"/>
    <n v="1"/>
  </r>
  <r>
    <s v="USR-100199"/>
    <d v="2025-05-14T00:00:00"/>
    <x v="0"/>
    <s v="North"/>
    <x v="1"/>
    <x v="1"/>
    <s v="Basic"/>
    <n v="1"/>
    <n v="0"/>
    <n v="0"/>
    <n v="0"/>
    <n v="0"/>
    <n v="0"/>
    <n v="0"/>
    <m/>
    <n v="64"/>
    <n v="1"/>
  </r>
  <r>
    <s v="USR-100200"/>
    <d v="2025-03-05T00:00:00"/>
    <x v="0"/>
    <s v="North"/>
    <x v="1"/>
    <x v="1"/>
    <s v="Premium"/>
    <n v="1"/>
    <n v="0"/>
    <n v="0"/>
    <n v="0"/>
    <n v="0"/>
    <n v="0"/>
    <n v="0"/>
    <m/>
    <n v="57.2"/>
    <n v="1"/>
  </r>
  <r>
    <s v="USR-100201"/>
    <d v="2025-04-02T00:00:00"/>
    <x v="0"/>
    <s v="West"/>
    <x v="0"/>
    <x v="1"/>
    <s v="Free"/>
    <n v="1"/>
    <n v="0"/>
    <n v="0"/>
    <n v="0"/>
    <n v="0"/>
    <n v="0"/>
    <n v="0"/>
    <m/>
    <n v="80.5"/>
    <n v="1"/>
  </r>
  <r>
    <s v="USR-100202"/>
    <d v="2025-05-14T00:00:00"/>
    <x v="0"/>
    <s v="South"/>
    <x v="2"/>
    <x v="1"/>
    <s v="Free"/>
    <n v="0"/>
    <n v="0"/>
    <n v="0"/>
    <n v="0"/>
    <n v="0"/>
    <n v="0"/>
    <n v="0"/>
    <m/>
    <n v="53.9"/>
    <n v="1"/>
  </r>
  <r>
    <s v="USR-100203"/>
    <d v="2025-05-21T00:00:00"/>
    <x v="0"/>
    <s v="North"/>
    <x v="1"/>
    <x v="2"/>
    <s v="Free"/>
    <n v="1"/>
    <n v="1"/>
    <n v="0"/>
    <n v="0"/>
    <n v="0"/>
    <n v="0"/>
    <n v="0"/>
    <m/>
    <n v="77.5"/>
    <n v="1"/>
  </r>
  <r>
    <s v="USR-100204"/>
    <d v="2025-01-27T00:00:00"/>
    <x v="0"/>
    <s v="East"/>
    <x v="1"/>
    <x v="4"/>
    <s v="Basic"/>
    <n v="0"/>
    <n v="0"/>
    <n v="0"/>
    <n v="0"/>
    <n v="0"/>
    <n v="0"/>
    <n v="0"/>
    <m/>
    <n v="84.2"/>
    <n v="1"/>
  </r>
  <r>
    <s v="USR-100205"/>
    <d v="2025-05-22T00:00:00"/>
    <x v="0"/>
    <s v="West"/>
    <x v="0"/>
    <x v="1"/>
    <s v="Free"/>
    <n v="1"/>
    <n v="1"/>
    <n v="0"/>
    <n v="0"/>
    <n v="0"/>
    <n v="0"/>
    <n v="0"/>
    <m/>
    <n v="54.9"/>
    <n v="1"/>
  </r>
  <r>
    <s v="USR-100206"/>
    <d v="2025-05-19T00:00:00"/>
    <x v="0"/>
    <s v="South"/>
    <x v="1"/>
    <x v="2"/>
    <s v="Free"/>
    <n v="0"/>
    <n v="0"/>
    <n v="0"/>
    <n v="0"/>
    <n v="0"/>
    <n v="0"/>
    <n v="0"/>
    <m/>
    <n v="69.3"/>
    <n v="1"/>
  </r>
  <r>
    <s v="USR-100207"/>
    <d v="2025-01-14T00:00:00"/>
    <x v="0"/>
    <s v="South"/>
    <x v="0"/>
    <x v="2"/>
    <s v="Free"/>
    <n v="1"/>
    <n v="0"/>
    <n v="0"/>
    <n v="0"/>
    <n v="0"/>
    <n v="2"/>
    <n v="0"/>
    <m/>
    <n v="42.3"/>
    <n v="1"/>
  </r>
  <r>
    <s v="USR-100208"/>
    <d v="2025-01-21T00:00:00"/>
    <x v="0"/>
    <s v="North"/>
    <x v="0"/>
    <x v="3"/>
    <s v="Premium"/>
    <n v="1"/>
    <n v="0"/>
    <n v="0"/>
    <n v="0"/>
    <n v="0"/>
    <n v="1"/>
    <n v="0"/>
    <m/>
    <n v="69.599999999999994"/>
    <n v="1"/>
  </r>
  <r>
    <s v="USR-100209"/>
    <d v="2025-05-16T00:00:00"/>
    <x v="0"/>
    <s v="East"/>
    <x v="1"/>
    <x v="1"/>
    <s v="Free"/>
    <n v="0"/>
    <n v="0"/>
    <n v="0"/>
    <n v="0"/>
    <n v="0"/>
    <n v="0"/>
    <n v="0"/>
    <m/>
    <n v="40.700000000000003"/>
    <n v="1"/>
  </r>
  <r>
    <s v="USR-100210"/>
    <d v="2025-02-02T00:00:00"/>
    <x v="0"/>
    <s v="North"/>
    <x v="1"/>
    <x v="0"/>
    <s v="Free"/>
    <n v="1"/>
    <n v="0"/>
    <n v="0"/>
    <n v="0"/>
    <n v="0"/>
    <n v="0"/>
    <n v="0"/>
    <m/>
    <n v="54"/>
    <n v="1"/>
  </r>
  <r>
    <s v="USR-100211"/>
    <d v="2025-03-23T00:00:00"/>
    <x v="0"/>
    <s v="East"/>
    <x v="3"/>
    <x v="3"/>
    <s v="Free"/>
    <n v="1"/>
    <n v="1"/>
    <n v="1"/>
    <n v="1"/>
    <n v="553.37"/>
    <n v="0"/>
    <n v="0"/>
    <n v="5"/>
    <n v="46.3"/>
    <n v="1"/>
  </r>
  <r>
    <s v="USR-100212"/>
    <d v="2025-01-24T00:00:00"/>
    <x v="0"/>
    <s v="East"/>
    <x v="1"/>
    <x v="1"/>
    <s v="Free"/>
    <n v="1"/>
    <n v="0"/>
    <n v="0"/>
    <n v="0"/>
    <n v="0"/>
    <n v="0"/>
    <n v="0"/>
    <m/>
    <n v="64.2"/>
    <n v="1"/>
  </r>
  <r>
    <s v="USR-100213"/>
    <d v="2025-04-12T00:00:00"/>
    <x v="0"/>
    <s v="North"/>
    <x v="0"/>
    <x v="1"/>
    <s v="Free"/>
    <n v="1"/>
    <n v="0"/>
    <n v="0"/>
    <n v="0"/>
    <n v="0"/>
    <n v="0"/>
    <n v="0"/>
    <m/>
    <n v="75.2"/>
    <n v="1"/>
  </r>
  <r>
    <s v="USR-100214"/>
    <d v="2025-02-18T00:00:00"/>
    <x v="0"/>
    <s v="East"/>
    <x v="0"/>
    <x v="2"/>
    <s v="Free"/>
    <n v="1"/>
    <n v="1"/>
    <n v="0"/>
    <n v="0"/>
    <n v="0"/>
    <n v="0"/>
    <n v="0"/>
    <m/>
    <n v="60.9"/>
    <n v="1"/>
  </r>
  <r>
    <s v="USR-100215"/>
    <d v="2025-05-28T00:00:00"/>
    <x v="0"/>
    <s v="South"/>
    <x v="1"/>
    <x v="0"/>
    <s v="Basic"/>
    <n v="1"/>
    <n v="1"/>
    <n v="1"/>
    <n v="0"/>
    <n v="0"/>
    <n v="0"/>
    <n v="0"/>
    <m/>
    <n v="62.1"/>
    <n v="1"/>
  </r>
  <r>
    <s v="USR-100216"/>
    <d v="2025-04-18T00:00:00"/>
    <x v="0"/>
    <s v="South"/>
    <x v="1"/>
    <x v="4"/>
    <s v="Basic"/>
    <n v="0"/>
    <n v="0"/>
    <n v="0"/>
    <n v="0"/>
    <n v="0"/>
    <n v="0"/>
    <n v="0"/>
    <m/>
    <n v="45.4"/>
    <n v="1"/>
  </r>
  <r>
    <s v="USR-100217"/>
    <d v="2025-03-27T00:00:00"/>
    <x v="0"/>
    <s v="North"/>
    <x v="1"/>
    <x v="2"/>
    <s v="Basic"/>
    <n v="1"/>
    <n v="0"/>
    <n v="0"/>
    <n v="0"/>
    <n v="0"/>
    <n v="0"/>
    <n v="0"/>
    <m/>
    <n v="53.3"/>
    <n v="1"/>
  </r>
  <r>
    <s v="USR-100218"/>
    <d v="2025-02-25T00:00:00"/>
    <x v="0"/>
    <s v="North"/>
    <x v="2"/>
    <x v="4"/>
    <s v="Free"/>
    <n v="1"/>
    <n v="0"/>
    <n v="0"/>
    <n v="0"/>
    <n v="0"/>
    <n v="0"/>
    <n v="0"/>
    <m/>
    <m/>
    <n v="1"/>
  </r>
  <r>
    <s v="USR-100219"/>
    <d v="2025-02-19T00:00:00"/>
    <x v="0"/>
    <s v="East"/>
    <x v="1"/>
    <x v="2"/>
    <s v="Free"/>
    <n v="0"/>
    <n v="0"/>
    <n v="0"/>
    <n v="0"/>
    <n v="0"/>
    <n v="1"/>
    <n v="0"/>
    <m/>
    <n v="38.200000000000003"/>
    <n v="1"/>
  </r>
  <r>
    <s v="USR-100220"/>
    <d v="2025-04-11T00:00:00"/>
    <x v="0"/>
    <s v="West"/>
    <x v="1"/>
    <x v="2"/>
    <s v="Free"/>
    <n v="1"/>
    <n v="1"/>
    <n v="0"/>
    <n v="0"/>
    <n v="0"/>
    <n v="3"/>
    <n v="0"/>
    <m/>
    <n v="59"/>
    <n v="1"/>
  </r>
  <r>
    <s v="USR-100221"/>
    <d v="2025-01-22T00:00:00"/>
    <x v="0"/>
    <s v="East"/>
    <x v="2"/>
    <x v="3"/>
    <s v="Premium"/>
    <n v="1"/>
    <n v="1"/>
    <n v="1"/>
    <n v="0"/>
    <n v="0"/>
    <n v="0"/>
    <n v="0"/>
    <m/>
    <n v="80.599999999999994"/>
    <n v="1"/>
  </r>
  <r>
    <s v="USR-100222"/>
    <d v="2025-01-12T00:00:00"/>
    <x v="0"/>
    <s v="South"/>
    <x v="1"/>
    <x v="4"/>
    <s v="Free"/>
    <n v="1"/>
    <n v="0"/>
    <n v="0"/>
    <n v="0"/>
    <n v="0"/>
    <n v="0"/>
    <n v="0"/>
    <m/>
    <n v="67"/>
    <n v="1"/>
  </r>
  <r>
    <s v="USR-100223"/>
    <d v="2025-02-17T00:00:00"/>
    <x v="0"/>
    <s v="West"/>
    <x v="1"/>
    <x v="0"/>
    <s v="Free"/>
    <n v="1"/>
    <n v="0"/>
    <n v="0"/>
    <n v="0"/>
    <n v="0"/>
    <n v="1"/>
    <n v="0"/>
    <m/>
    <n v="72.099999999999994"/>
    <n v="1"/>
  </r>
  <r>
    <s v="USR-100224"/>
    <d v="2025-04-11T00:00:00"/>
    <x v="0"/>
    <s v="West"/>
    <x v="0"/>
    <x v="1"/>
    <s v="Free"/>
    <n v="0"/>
    <n v="0"/>
    <n v="0"/>
    <n v="0"/>
    <n v="0"/>
    <n v="0"/>
    <n v="0"/>
    <m/>
    <n v="74.099999999999994"/>
    <n v="1"/>
  </r>
  <r>
    <s v="USR-100225"/>
    <d v="2025-05-25T00:00:00"/>
    <x v="0"/>
    <s v="South"/>
    <x v="1"/>
    <x v="3"/>
    <s v="Premium"/>
    <n v="0"/>
    <n v="0"/>
    <n v="0"/>
    <n v="0"/>
    <n v="0"/>
    <n v="0"/>
    <n v="0"/>
    <m/>
    <n v="84.8"/>
    <n v="1"/>
  </r>
  <r>
    <s v="USR-100226"/>
    <d v="2025-03-12T00:00:00"/>
    <x v="0"/>
    <s v="South"/>
    <x v="1"/>
    <x v="1"/>
    <s v="Basic"/>
    <n v="1"/>
    <n v="0"/>
    <n v="0"/>
    <n v="0"/>
    <n v="0"/>
    <n v="0"/>
    <n v="0"/>
    <m/>
    <n v="33"/>
    <n v="1"/>
  </r>
  <r>
    <s v="USR-100227"/>
    <d v="2025-04-20T00:00:00"/>
    <x v="0"/>
    <s v="North"/>
    <x v="2"/>
    <x v="0"/>
    <s v="Free"/>
    <n v="0"/>
    <n v="0"/>
    <n v="0"/>
    <n v="0"/>
    <n v="0"/>
    <n v="0"/>
    <n v="0"/>
    <m/>
    <n v="52.5"/>
    <n v="1"/>
  </r>
  <r>
    <s v="USR-100228"/>
    <d v="2025-02-23T00:00:00"/>
    <x v="0"/>
    <s v="North"/>
    <x v="2"/>
    <x v="1"/>
    <s v="Free"/>
    <n v="0"/>
    <n v="0"/>
    <n v="0"/>
    <n v="0"/>
    <n v="0"/>
    <n v="0"/>
    <n v="0"/>
    <m/>
    <n v="66.900000000000006"/>
    <n v="1"/>
  </r>
  <r>
    <s v="USR-100229"/>
    <d v="2025-01-24T00:00:00"/>
    <x v="0"/>
    <s v="North"/>
    <x v="1"/>
    <x v="1"/>
    <s v="Basic"/>
    <n v="1"/>
    <n v="1"/>
    <n v="1"/>
    <n v="0"/>
    <n v="0"/>
    <n v="1"/>
    <n v="0"/>
    <m/>
    <n v="32.700000000000003"/>
    <n v="1"/>
  </r>
  <r>
    <s v="USR-100230"/>
    <d v="2025-01-16T00:00:00"/>
    <x v="0"/>
    <s v="West"/>
    <x v="1"/>
    <x v="1"/>
    <s v="Premium"/>
    <n v="1"/>
    <n v="1"/>
    <n v="1"/>
    <n v="0"/>
    <n v="0"/>
    <n v="1"/>
    <n v="0"/>
    <m/>
    <n v="70.599999999999994"/>
    <n v="1"/>
  </r>
  <r>
    <s v="USR-100231"/>
    <d v="2025-02-17T00:00:00"/>
    <x v="0"/>
    <s v="North"/>
    <x v="1"/>
    <x v="4"/>
    <s v="Free"/>
    <n v="0"/>
    <n v="0"/>
    <n v="0"/>
    <n v="0"/>
    <n v="0"/>
    <n v="0"/>
    <n v="0"/>
    <m/>
    <n v="69.400000000000006"/>
    <n v="1"/>
  </r>
  <r>
    <s v="USR-100232"/>
    <d v="2025-05-04T00:00:00"/>
    <x v="0"/>
    <s v="North"/>
    <x v="0"/>
    <x v="1"/>
    <s v="Basic"/>
    <n v="1"/>
    <n v="0"/>
    <n v="0"/>
    <n v="0"/>
    <n v="0"/>
    <n v="0"/>
    <n v="0"/>
    <m/>
    <n v="56.1"/>
    <n v="1"/>
  </r>
  <r>
    <s v="USR-100233"/>
    <d v="2025-01-12T00:00:00"/>
    <x v="0"/>
    <s v="West"/>
    <x v="1"/>
    <x v="1"/>
    <s v="Basic"/>
    <n v="0"/>
    <n v="0"/>
    <n v="0"/>
    <n v="0"/>
    <n v="0"/>
    <n v="0"/>
    <n v="0"/>
    <m/>
    <n v="55.8"/>
    <n v="1"/>
  </r>
  <r>
    <s v="USR-100234"/>
    <d v="2025-04-28T00:00:00"/>
    <x v="0"/>
    <s v="North"/>
    <x v="2"/>
    <x v="1"/>
    <s v="Free"/>
    <n v="0"/>
    <n v="0"/>
    <n v="0"/>
    <n v="0"/>
    <n v="0"/>
    <n v="0"/>
    <n v="0"/>
    <m/>
    <n v="49.3"/>
    <n v="1"/>
  </r>
  <r>
    <s v="USR-100235"/>
    <d v="2025-02-26T00:00:00"/>
    <x v="0"/>
    <s v="North"/>
    <x v="1"/>
    <x v="1"/>
    <s v="Free"/>
    <n v="0"/>
    <n v="0"/>
    <n v="0"/>
    <n v="0"/>
    <n v="0"/>
    <n v="0"/>
    <n v="0"/>
    <m/>
    <n v="71.8"/>
    <n v="1"/>
  </r>
  <r>
    <s v="USR-100236"/>
    <d v="2025-03-18T00:00:00"/>
    <x v="0"/>
    <s v="West"/>
    <x v="1"/>
    <x v="4"/>
    <s v="Free"/>
    <n v="1"/>
    <n v="0"/>
    <n v="0"/>
    <n v="0"/>
    <n v="0"/>
    <n v="3"/>
    <n v="0"/>
    <m/>
    <n v="39.700000000000003"/>
    <n v="1"/>
  </r>
  <r>
    <s v="USR-100237"/>
    <d v="2025-03-01T00:00:00"/>
    <x v="0"/>
    <s v="South"/>
    <x v="0"/>
    <x v="1"/>
    <s v="Premium"/>
    <n v="1"/>
    <n v="0"/>
    <n v="0"/>
    <n v="0"/>
    <n v="0"/>
    <n v="0"/>
    <n v="0"/>
    <m/>
    <n v="45.4"/>
    <n v="1"/>
  </r>
  <r>
    <s v="USR-100238"/>
    <d v="2025-04-05T00:00:00"/>
    <x v="0"/>
    <s v="North"/>
    <x v="0"/>
    <x v="4"/>
    <s v="Premium"/>
    <n v="1"/>
    <n v="0"/>
    <n v="0"/>
    <n v="0"/>
    <n v="0"/>
    <n v="0"/>
    <n v="0"/>
    <m/>
    <n v="69.900000000000006"/>
    <n v="1"/>
  </r>
  <r>
    <s v="USR-100239"/>
    <d v="2025-03-12T00:00:00"/>
    <x v="0"/>
    <s v="North"/>
    <x v="0"/>
    <x v="4"/>
    <s v="Free"/>
    <n v="1"/>
    <n v="1"/>
    <n v="1"/>
    <n v="0"/>
    <n v="0"/>
    <n v="0"/>
    <n v="0"/>
    <m/>
    <n v="56.1"/>
    <n v="1"/>
  </r>
  <r>
    <s v="USR-100240"/>
    <d v="2025-03-15T00:00:00"/>
    <x v="0"/>
    <s v="West"/>
    <x v="1"/>
    <x v="3"/>
    <s v="Basic"/>
    <n v="1"/>
    <n v="1"/>
    <n v="0"/>
    <n v="0"/>
    <n v="0"/>
    <n v="0"/>
    <n v="0"/>
    <m/>
    <n v="45.9"/>
    <n v="1"/>
  </r>
  <r>
    <s v="USR-100241"/>
    <d v="2025-02-23T00:00:00"/>
    <x v="0"/>
    <s v="West"/>
    <x v="1"/>
    <x v="0"/>
    <s v="Free"/>
    <n v="0"/>
    <n v="0"/>
    <n v="0"/>
    <n v="0"/>
    <n v="0"/>
    <n v="0"/>
    <n v="0"/>
    <m/>
    <n v="65.8"/>
    <n v="1"/>
  </r>
  <r>
    <s v="USR-100242"/>
    <d v="2025-04-22T00:00:00"/>
    <x v="0"/>
    <s v="North"/>
    <x v="1"/>
    <x v="1"/>
    <s v="Basic"/>
    <n v="1"/>
    <n v="0"/>
    <n v="0"/>
    <n v="0"/>
    <n v="0"/>
    <n v="0"/>
    <n v="0"/>
    <m/>
    <n v="48.2"/>
    <n v="1"/>
  </r>
  <r>
    <s v="USR-100243"/>
    <d v="2025-01-09T00:00:00"/>
    <x v="0"/>
    <s v="East"/>
    <x v="1"/>
    <x v="1"/>
    <s v="Basic"/>
    <n v="1"/>
    <n v="1"/>
    <n v="1"/>
    <n v="0"/>
    <n v="0"/>
    <n v="0"/>
    <n v="0"/>
    <m/>
    <n v="81.099999999999994"/>
    <n v="1"/>
  </r>
  <r>
    <s v="USR-100244"/>
    <d v="2025-03-05T00:00:00"/>
    <x v="0"/>
    <s v="East"/>
    <x v="2"/>
    <x v="4"/>
    <s v="Premium"/>
    <n v="1"/>
    <n v="1"/>
    <n v="0"/>
    <n v="0"/>
    <n v="0"/>
    <n v="0"/>
    <n v="0"/>
    <m/>
    <n v="53.2"/>
    <n v="1"/>
  </r>
  <r>
    <s v="USR-100245"/>
    <d v="2025-01-28T00:00:00"/>
    <x v="0"/>
    <s v="North"/>
    <x v="1"/>
    <x v="4"/>
    <s v="Free"/>
    <n v="1"/>
    <n v="1"/>
    <n v="1"/>
    <n v="0"/>
    <n v="0"/>
    <n v="0"/>
    <n v="0"/>
    <m/>
    <n v="57.7"/>
    <n v="1"/>
  </r>
  <r>
    <s v="USR-100246"/>
    <d v="2025-01-21T00:00:00"/>
    <x v="0"/>
    <s v="West"/>
    <x v="1"/>
    <x v="2"/>
    <s v="Premium"/>
    <n v="1"/>
    <n v="1"/>
    <n v="0"/>
    <n v="0"/>
    <n v="0"/>
    <n v="0"/>
    <n v="0"/>
    <m/>
    <n v="78.900000000000006"/>
    <n v="1"/>
  </r>
  <r>
    <s v="USR-100247"/>
    <d v="2025-03-14T00:00:00"/>
    <x v="0"/>
    <s v="South"/>
    <x v="1"/>
    <x v="3"/>
    <s v="Basic"/>
    <n v="0"/>
    <n v="0"/>
    <n v="0"/>
    <n v="0"/>
    <n v="0"/>
    <n v="0"/>
    <n v="0"/>
    <m/>
    <n v="55.7"/>
    <n v="1"/>
  </r>
  <r>
    <s v="USR-100248"/>
    <d v="2025-02-03T00:00:00"/>
    <x v="0"/>
    <s v="West"/>
    <x v="1"/>
    <x v="2"/>
    <s v="Free"/>
    <n v="0"/>
    <n v="0"/>
    <n v="0"/>
    <n v="0"/>
    <n v="0"/>
    <n v="0"/>
    <n v="0"/>
    <m/>
    <n v="52.3"/>
    <n v="1"/>
  </r>
  <r>
    <s v="USR-100249"/>
    <d v="2025-05-22T00:00:00"/>
    <x v="0"/>
    <s v="North"/>
    <x v="1"/>
    <x v="4"/>
    <s v="Free"/>
    <n v="1"/>
    <n v="0"/>
    <n v="0"/>
    <n v="0"/>
    <n v="0"/>
    <n v="0"/>
    <n v="0"/>
    <m/>
    <n v="51.5"/>
    <n v="1"/>
  </r>
  <r>
    <s v="USR-100250"/>
    <d v="2025-04-25T00:00:00"/>
    <x v="0"/>
    <s v="North"/>
    <x v="0"/>
    <x v="0"/>
    <s v="Free"/>
    <n v="1"/>
    <n v="0"/>
    <n v="0"/>
    <n v="0"/>
    <n v="0"/>
    <n v="0"/>
    <n v="0"/>
    <m/>
    <n v="70.8"/>
    <n v="1"/>
  </r>
  <r>
    <s v="USR-100251"/>
    <d v="2025-01-30T00:00:00"/>
    <x v="0"/>
    <s v="North"/>
    <x v="0"/>
    <x v="0"/>
    <s v="Basic"/>
    <n v="1"/>
    <n v="1"/>
    <n v="1"/>
    <n v="1"/>
    <n v="1250.78"/>
    <n v="0"/>
    <n v="0"/>
    <n v="10"/>
    <n v="39"/>
    <n v="1"/>
  </r>
  <r>
    <s v="USR-100252"/>
    <d v="2025-05-23T00:00:00"/>
    <x v="0"/>
    <s v="West"/>
    <x v="1"/>
    <x v="1"/>
    <s v="Free"/>
    <n v="1"/>
    <n v="0"/>
    <n v="0"/>
    <n v="0"/>
    <n v="0"/>
    <n v="0"/>
    <n v="0"/>
    <m/>
    <n v="61.6"/>
    <n v="1"/>
  </r>
  <r>
    <s v="USR-100253"/>
    <d v="2025-02-14T00:00:00"/>
    <x v="0"/>
    <s v="East"/>
    <x v="0"/>
    <x v="1"/>
    <s v="Free"/>
    <n v="1"/>
    <n v="1"/>
    <n v="1"/>
    <n v="0"/>
    <n v="0"/>
    <n v="0"/>
    <n v="0"/>
    <m/>
    <n v="46.8"/>
    <n v="1"/>
  </r>
  <r>
    <s v="USR-100254"/>
    <d v="2025-03-05T00:00:00"/>
    <x v="0"/>
    <s v="North"/>
    <x v="1"/>
    <x v="2"/>
    <s v="Premium"/>
    <n v="0"/>
    <n v="0"/>
    <n v="0"/>
    <n v="0"/>
    <n v="0"/>
    <n v="1"/>
    <n v="0"/>
    <m/>
    <n v="58.5"/>
    <n v="1"/>
  </r>
  <r>
    <s v="USR-100255"/>
    <d v="2025-05-27T00:00:00"/>
    <x v="0"/>
    <s v="North"/>
    <x v="1"/>
    <x v="2"/>
    <s v="Basic"/>
    <n v="0"/>
    <n v="0"/>
    <n v="0"/>
    <n v="0"/>
    <n v="0"/>
    <n v="0"/>
    <n v="0"/>
    <m/>
    <n v="70.900000000000006"/>
    <n v="1"/>
  </r>
  <r>
    <s v="USR-100256"/>
    <d v="2025-01-07T00:00:00"/>
    <x v="0"/>
    <s v="South"/>
    <x v="1"/>
    <x v="2"/>
    <s v="Free"/>
    <n v="1"/>
    <n v="0"/>
    <n v="0"/>
    <n v="0"/>
    <n v="0"/>
    <n v="0"/>
    <n v="0"/>
    <m/>
    <n v="48.4"/>
    <n v="1"/>
  </r>
  <r>
    <s v="USR-100257"/>
    <d v="2025-04-21T00:00:00"/>
    <x v="0"/>
    <s v="North"/>
    <x v="1"/>
    <x v="0"/>
    <s v="Free"/>
    <n v="1"/>
    <n v="0"/>
    <n v="0"/>
    <n v="0"/>
    <n v="0"/>
    <n v="0"/>
    <n v="0"/>
    <m/>
    <n v="58"/>
    <n v="1"/>
  </r>
  <r>
    <s v="USR-100258"/>
    <d v="2025-05-13T00:00:00"/>
    <x v="0"/>
    <s v="North"/>
    <x v="1"/>
    <x v="2"/>
    <s v="Free"/>
    <n v="0"/>
    <n v="0"/>
    <n v="0"/>
    <n v="0"/>
    <n v="0"/>
    <n v="0"/>
    <n v="0"/>
    <m/>
    <n v="61.6"/>
    <n v="1"/>
  </r>
  <r>
    <s v="USR-100259"/>
    <d v="2025-01-28T00:00:00"/>
    <x v="0"/>
    <s v="East"/>
    <x v="0"/>
    <x v="1"/>
    <s v="Free"/>
    <n v="1"/>
    <n v="0"/>
    <n v="0"/>
    <n v="0"/>
    <n v="0"/>
    <n v="0"/>
    <n v="0"/>
    <m/>
    <n v="43.2"/>
    <n v="1"/>
  </r>
  <r>
    <s v="USR-100260"/>
    <d v="2025-03-16T00:00:00"/>
    <x v="0"/>
    <s v="East"/>
    <x v="0"/>
    <x v="2"/>
    <s v="Basic"/>
    <n v="1"/>
    <n v="0"/>
    <n v="0"/>
    <n v="0"/>
    <n v="0"/>
    <n v="1"/>
    <n v="0"/>
    <m/>
    <n v="53.3"/>
    <n v="1"/>
  </r>
  <r>
    <s v="USR-100261"/>
    <d v="2025-04-10T00:00:00"/>
    <x v="0"/>
    <s v="East"/>
    <x v="0"/>
    <x v="4"/>
    <s v="Basic"/>
    <n v="0"/>
    <n v="0"/>
    <n v="0"/>
    <n v="0"/>
    <n v="0"/>
    <n v="0"/>
    <n v="0"/>
    <m/>
    <n v="33.9"/>
    <n v="1"/>
  </r>
  <r>
    <s v="USR-100262"/>
    <d v="2025-03-15T00:00:00"/>
    <x v="0"/>
    <s v="East"/>
    <x v="0"/>
    <x v="3"/>
    <s v="Free"/>
    <n v="1"/>
    <n v="1"/>
    <n v="1"/>
    <n v="0"/>
    <n v="0"/>
    <n v="0"/>
    <n v="0"/>
    <m/>
    <n v="35.4"/>
    <n v="1"/>
  </r>
  <r>
    <s v="USR-100263"/>
    <d v="2025-04-07T00:00:00"/>
    <x v="0"/>
    <s v="West"/>
    <x v="0"/>
    <x v="1"/>
    <s v="Basic"/>
    <n v="1"/>
    <n v="0"/>
    <n v="0"/>
    <n v="0"/>
    <n v="0"/>
    <n v="0"/>
    <n v="0"/>
    <m/>
    <n v="45"/>
    <n v="1"/>
  </r>
  <r>
    <s v="USR-100264"/>
    <d v="2025-02-12T00:00:00"/>
    <x v="0"/>
    <s v="South"/>
    <x v="1"/>
    <x v="1"/>
    <s v="Free"/>
    <n v="1"/>
    <n v="1"/>
    <n v="0"/>
    <n v="0"/>
    <n v="0"/>
    <n v="0"/>
    <n v="0"/>
    <m/>
    <n v="86.5"/>
    <n v="1"/>
  </r>
  <r>
    <s v="USR-100265"/>
    <d v="2025-05-05T00:00:00"/>
    <x v="0"/>
    <s v="West"/>
    <x v="1"/>
    <x v="4"/>
    <s v="Free"/>
    <n v="0"/>
    <n v="0"/>
    <n v="0"/>
    <n v="0"/>
    <n v="0"/>
    <n v="0"/>
    <n v="0"/>
    <m/>
    <n v="58.1"/>
    <n v="1"/>
  </r>
  <r>
    <s v="USR-100266"/>
    <d v="2025-03-11T00:00:00"/>
    <x v="0"/>
    <s v="West"/>
    <x v="1"/>
    <x v="3"/>
    <s v="Free"/>
    <n v="1"/>
    <n v="0"/>
    <n v="0"/>
    <n v="0"/>
    <n v="0"/>
    <n v="0"/>
    <n v="0"/>
    <m/>
    <n v="36.1"/>
    <n v="1"/>
  </r>
  <r>
    <s v="USR-100267"/>
    <d v="2025-02-10T00:00:00"/>
    <x v="0"/>
    <s v="East"/>
    <x v="1"/>
    <x v="4"/>
    <s v="Free"/>
    <n v="0"/>
    <n v="0"/>
    <n v="0"/>
    <n v="0"/>
    <n v="0"/>
    <n v="0"/>
    <n v="0"/>
    <m/>
    <n v="62.8"/>
    <n v="1"/>
  </r>
  <r>
    <s v="USR-100268"/>
    <d v="2025-04-06T00:00:00"/>
    <x v="0"/>
    <s v="South"/>
    <x v="1"/>
    <x v="1"/>
    <s v="Free"/>
    <n v="0"/>
    <n v="0"/>
    <n v="0"/>
    <n v="0"/>
    <n v="0"/>
    <n v="0"/>
    <n v="0"/>
    <m/>
    <n v="54.2"/>
    <n v="1"/>
  </r>
  <r>
    <s v="USR-100269"/>
    <d v="2025-01-06T00:00:00"/>
    <x v="0"/>
    <s v="East"/>
    <x v="1"/>
    <x v="3"/>
    <s v="Free"/>
    <n v="0"/>
    <n v="0"/>
    <n v="0"/>
    <n v="0"/>
    <n v="0"/>
    <n v="0"/>
    <n v="0"/>
    <m/>
    <n v="50"/>
    <n v="1"/>
  </r>
  <r>
    <s v="USR-100270"/>
    <d v="2025-03-25T00:00:00"/>
    <x v="0"/>
    <s v="East"/>
    <x v="2"/>
    <x v="2"/>
    <s v="Basic"/>
    <n v="1"/>
    <n v="0"/>
    <n v="0"/>
    <n v="0"/>
    <n v="0"/>
    <n v="0"/>
    <n v="0"/>
    <m/>
    <n v="62"/>
    <n v="1"/>
  </r>
  <r>
    <s v="USR-100271"/>
    <d v="2025-02-13T00:00:00"/>
    <x v="0"/>
    <s v="East"/>
    <x v="0"/>
    <x v="3"/>
    <s v="Free"/>
    <n v="1"/>
    <n v="0"/>
    <n v="0"/>
    <n v="0"/>
    <n v="0"/>
    <n v="0"/>
    <n v="0"/>
    <m/>
    <n v="29.3"/>
    <n v="1"/>
  </r>
  <r>
    <s v="USR-100272"/>
    <d v="2025-03-17T00:00:00"/>
    <x v="0"/>
    <s v="West"/>
    <x v="0"/>
    <x v="1"/>
    <s v="Free"/>
    <n v="1"/>
    <n v="0"/>
    <n v="0"/>
    <n v="0"/>
    <n v="0"/>
    <n v="0"/>
    <n v="0"/>
    <m/>
    <n v="67.900000000000006"/>
    <n v="1"/>
  </r>
  <r>
    <s v="USR-100273"/>
    <d v="2025-05-10T00:00:00"/>
    <x v="0"/>
    <s v="North"/>
    <x v="1"/>
    <x v="3"/>
    <s v="Free"/>
    <n v="1"/>
    <n v="1"/>
    <n v="1"/>
    <n v="0"/>
    <n v="0"/>
    <n v="0"/>
    <n v="0"/>
    <m/>
    <n v="67.599999999999994"/>
    <n v="1"/>
  </r>
  <r>
    <s v="USR-100274"/>
    <d v="2025-05-07T00:00:00"/>
    <x v="0"/>
    <s v="South"/>
    <x v="1"/>
    <x v="2"/>
    <s v="Basic"/>
    <n v="0"/>
    <n v="0"/>
    <n v="0"/>
    <n v="0"/>
    <n v="0"/>
    <n v="0"/>
    <n v="0"/>
    <m/>
    <n v="67.400000000000006"/>
    <n v="1"/>
  </r>
  <r>
    <s v="USR-100275"/>
    <d v="2025-02-26T00:00:00"/>
    <x v="0"/>
    <s v="West"/>
    <x v="0"/>
    <x v="2"/>
    <s v="Premium"/>
    <n v="0"/>
    <n v="0"/>
    <n v="0"/>
    <n v="0"/>
    <n v="0"/>
    <n v="2"/>
    <n v="0"/>
    <m/>
    <n v="53"/>
    <n v="1"/>
  </r>
  <r>
    <s v="USR-100276"/>
    <d v="2025-05-11T00:00:00"/>
    <x v="0"/>
    <s v="North"/>
    <x v="1"/>
    <x v="1"/>
    <s v="Basic"/>
    <n v="0"/>
    <n v="0"/>
    <n v="0"/>
    <n v="0"/>
    <n v="0"/>
    <n v="0"/>
    <n v="0"/>
    <m/>
    <n v="65.5"/>
    <n v="1"/>
  </r>
  <r>
    <s v="USR-100277"/>
    <d v="2025-03-20T00:00:00"/>
    <x v="0"/>
    <s v="South"/>
    <x v="1"/>
    <x v="1"/>
    <s v="Basic"/>
    <n v="1"/>
    <n v="1"/>
    <n v="0"/>
    <n v="0"/>
    <n v="0"/>
    <n v="0"/>
    <n v="0"/>
    <m/>
    <n v="49.6"/>
    <n v="1"/>
  </r>
  <r>
    <s v="USR-100278"/>
    <d v="2025-01-19T00:00:00"/>
    <x v="0"/>
    <s v="North"/>
    <x v="1"/>
    <x v="0"/>
    <s v="Free"/>
    <n v="1"/>
    <n v="1"/>
    <n v="0"/>
    <n v="0"/>
    <n v="0"/>
    <n v="0"/>
    <n v="0"/>
    <m/>
    <n v="74.5"/>
    <n v="1"/>
  </r>
  <r>
    <s v="USR-100279"/>
    <d v="2025-03-08T00:00:00"/>
    <x v="0"/>
    <s v="North"/>
    <x v="2"/>
    <x v="2"/>
    <s v="Premium"/>
    <n v="1"/>
    <n v="0"/>
    <n v="0"/>
    <n v="0"/>
    <n v="0"/>
    <n v="1"/>
    <n v="0"/>
    <m/>
    <n v="46.9"/>
    <n v="1"/>
  </r>
  <r>
    <s v="USR-100280"/>
    <d v="2025-04-25T00:00:00"/>
    <x v="0"/>
    <s v="North"/>
    <x v="1"/>
    <x v="1"/>
    <s v="Free"/>
    <n v="0"/>
    <n v="0"/>
    <n v="0"/>
    <n v="0"/>
    <n v="0"/>
    <n v="0"/>
    <n v="0"/>
    <m/>
    <n v="87.1"/>
    <n v="1"/>
  </r>
  <r>
    <s v="USR-100281"/>
    <d v="2025-04-04T00:00:00"/>
    <x v="0"/>
    <s v="North"/>
    <x v="0"/>
    <x v="1"/>
    <s v="Free"/>
    <n v="1"/>
    <n v="0"/>
    <n v="0"/>
    <n v="0"/>
    <n v="0"/>
    <n v="0"/>
    <n v="0"/>
    <m/>
    <n v="56"/>
    <n v="1"/>
  </r>
  <r>
    <s v="USR-100282"/>
    <d v="2025-05-01T00:00:00"/>
    <x v="0"/>
    <s v="East"/>
    <x v="1"/>
    <x v="2"/>
    <s v="Premium"/>
    <n v="1"/>
    <n v="0"/>
    <n v="0"/>
    <n v="0"/>
    <n v="0"/>
    <n v="1"/>
    <n v="0"/>
    <m/>
    <n v="61.7"/>
    <n v="1"/>
  </r>
  <r>
    <s v="USR-100283"/>
    <d v="2025-01-21T00:00:00"/>
    <x v="0"/>
    <s v="South"/>
    <x v="1"/>
    <x v="4"/>
    <s v="Free"/>
    <n v="1"/>
    <n v="0"/>
    <n v="0"/>
    <n v="0"/>
    <n v="0"/>
    <n v="1"/>
    <n v="0"/>
    <m/>
    <n v="70.5"/>
    <n v="1"/>
  </r>
  <r>
    <s v="USR-100284"/>
    <d v="2025-02-10T00:00:00"/>
    <x v="0"/>
    <s v="North"/>
    <x v="0"/>
    <x v="3"/>
    <s v="Basic"/>
    <n v="1"/>
    <n v="0"/>
    <n v="0"/>
    <n v="0"/>
    <n v="0"/>
    <n v="0"/>
    <n v="0"/>
    <m/>
    <n v="33.4"/>
    <n v="1"/>
  </r>
  <r>
    <s v="USR-100285"/>
    <d v="2025-05-06T00:00:00"/>
    <x v="0"/>
    <s v="South"/>
    <x v="0"/>
    <x v="1"/>
    <s v="Free"/>
    <n v="1"/>
    <n v="0"/>
    <n v="0"/>
    <n v="0"/>
    <n v="0"/>
    <n v="0"/>
    <n v="0"/>
    <m/>
    <n v="57.5"/>
    <n v="1"/>
  </r>
  <r>
    <s v="USR-100286"/>
    <d v="2025-02-08T00:00:00"/>
    <x v="0"/>
    <s v="North"/>
    <x v="0"/>
    <x v="2"/>
    <s v="Basic"/>
    <n v="1"/>
    <n v="1"/>
    <n v="0"/>
    <n v="0"/>
    <n v="0"/>
    <n v="0"/>
    <n v="0"/>
    <m/>
    <n v="85.7"/>
    <n v="1"/>
  </r>
  <r>
    <s v="USR-100287"/>
    <d v="2025-05-31T00:00:00"/>
    <x v="0"/>
    <s v="East"/>
    <x v="1"/>
    <x v="4"/>
    <s v="Free"/>
    <n v="1"/>
    <n v="0"/>
    <n v="0"/>
    <n v="0"/>
    <n v="0"/>
    <n v="0"/>
    <n v="0"/>
    <m/>
    <n v="41.9"/>
    <n v="1"/>
  </r>
  <r>
    <s v="USR-100288"/>
    <d v="2025-02-07T00:00:00"/>
    <x v="0"/>
    <s v="West"/>
    <x v="1"/>
    <x v="0"/>
    <s v="Basic"/>
    <n v="1"/>
    <n v="0"/>
    <n v="0"/>
    <n v="0"/>
    <n v="0"/>
    <n v="0"/>
    <n v="0"/>
    <m/>
    <n v="70.2"/>
    <n v="1"/>
  </r>
  <r>
    <s v="USR-100289"/>
    <d v="2025-02-10T00:00:00"/>
    <x v="0"/>
    <s v="North"/>
    <x v="1"/>
    <x v="4"/>
    <s v="Free"/>
    <n v="1"/>
    <n v="0"/>
    <n v="0"/>
    <n v="0"/>
    <n v="0"/>
    <n v="0"/>
    <n v="0"/>
    <m/>
    <n v="42.6"/>
    <n v="1"/>
  </r>
  <r>
    <s v="USR-100290"/>
    <d v="2025-01-31T00:00:00"/>
    <x v="0"/>
    <s v="West"/>
    <x v="1"/>
    <x v="4"/>
    <s v="Basic"/>
    <n v="0"/>
    <n v="0"/>
    <n v="0"/>
    <n v="0"/>
    <n v="0"/>
    <n v="2"/>
    <n v="0"/>
    <m/>
    <n v="30.4"/>
    <n v="1"/>
  </r>
  <r>
    <s v="USR-100291"/>
    <d v="2025-03-16T00:00:00"/>
    <x v="0"/>
    <s v="East"/>
    <x v="1"/>
    <x v="2"/>
    <s v="Basic"/>
    <n v="1"/>
    <n v="0"/>
    <n v="0"/>
    <n v="0"/>
    <n v="0"/>
    <n v="0"/>
    <n v="0"/>
    <m/>
    <n v="63.7"/>
    <n v="1"/>
  </r>
  <r>
    <s v="USR-100292"/>
    <d v="2025-04-24T00:00:00"/>
    <x v="0"/>
    <s v="South"/>
    <x v="1"/>
    <x v="4"/>
    <s v="Basic"/>
    <n v="0"/>
    <n v="0"/>
    <n v="0"/>
    <n v="0"/>
    <n v="0"/>
    <n v="0"/>
    <n v="0"/>
    <m/>
    <n v="42.7"/>
    <n v="1"/>
  </r>
  <r>
    <s v="USR-100293"/>
    <d v="2025-01-28T00:00:00"/>
    <x v="0"/>
    <s v="North"/>
    <x v="1"/>
    <x v="1"/>
    <s v="Free"/>
    <n v="0"/>
    <n v="0"/>
    <n v="0"/>
    <n v="0"/>
    <n v="0"/>
    <n v="0"/>
    <n v="0"/>
    <m/>
    <n v="74.3"/>
    <n v="1"/>
  </r>
  <r>
    <s v="USR-100294"/>
    <d v="2025-02-16T00:00:00"/>
    <x v="0"/>
    <s v="West"/>
    <x v="0"/>
    <x v="0"/>
    <s v="Free"/>
    <n v="1"/>
    <n v="0"/>
    <n v="0"/>
    <n v="0"/>
    <n v="0"/>
    <n v="0"/>
    <n v="0"/>
    <m/>
    <n v="40.6"/>
    <n v="1"/>
  </r>
  <r>
    <s v="USR-100295"/>
    <d v="2025-03-23T00:00:00"/>
    <x v="0"/>
    <s v="East"/>
    <x v="1"/>
    <x v="1"/>
    <s v="Premium"/>
    <n v="0"/>
    <n v="0"/>
    <n v="0"/>
    <n v="0"/>
    <n v="0"/>
    <n v="0"/>
    <n v="0"/>
    <m/>
    <n v="67"/>
    <n v="1"/>
  </r>
  <r>
    <s v="USR-100296"/>
    <d v="2025-05-31T00:00:00"/>
    <x v="0"/>
    <s v="East"/>
    <x v="1"/>
    <x v="2"/>
    <s v="Premium"/>
    <n v="0"/>
    <n v="0"/>
    <n v="0"/>
    <n v="0"/>
    <n v="0"/>
    <n v="0"/>
    <n v="0"/>
    <m/>
    <n v="51"/>
    <n v="1"/>
  </r>
  <r>
    <s v="USR-100297"/>
    <d v="2025-04-13T00:00:00"/>
    <x v="0"/>
    <s v="West"/>
    <x v="1"/>
    <x v="4"/>
    <s v="Basic"/>
    <n v="1"/>
    <n v="1"/>
    <n v="0"/>
    <n v="0"/>
    <n v="0"/>
    <n v="1"/>
    <n v="0"/>
    <m/>
    <n v="54.8"/>
    <n v="1"/>
  </r>
  <r>
    <s v="USR-100298"/>
    <d v="2025-05-14T00:00:00"/>
    <x v="0"/>
    <s v="North"/>
    <x v="2"/>
    <x v="0"/>
    <s v="Basic"/>
    <n v="0"/>
    <n v="0"/>
    <n v="0"/>
    <n v="0"/>
    <n v="0"/>
    <n v="0"/>
    <n v="0"/>
    <m/>
    <n v="40.799999999999997"/>
    <n v="1"/>
  </r>
  <r>
    <s v="USR-100299"/>
    <d v="2025-02-19T00:00:00"/>
    <x v="0"/>
    <s v="East"/>
    <x v="1"/>
    <x v="2"/>
    <s v="Free"/>
    <n v="0"/>
    <n v="0"/>
    <n v="0"/>
    <n v="0"/>
    <n v="0"/>
    <n v="0"/>
    <n v="0"/>
    <m/>
    <n v="48.8"/>
    <n v="1"/>
  </r>
  <r>
    <s v="USR-100300"/>
    <d v="2025-01-24T00:00:00"/>
    <x v="0"/>
    <s v="South"/>
    <x v="1"/>
    <x v="5"/>
    <s v="Basic"/>
    <n v="1"/>
    <n v="1"/>
    <n v="1"/>
    <n v="1"/>
    <n v="1198.69"/>
    <n v="1"/>
    <n v="0"/>
    <n v="6"/>
    <n v="88.9"/>
    <n v="1"/>
  </r>
  <r>
    <s v="USR-100301"/>
    <d v="2025-05-09T00:00:00"/>
    <x v="0"/>
    <s v="North"/>
    <x v="1"/>
    <x v="0"/>
    <s v="Basic"/>
    <n v="1"/>
    <n v="1"/>
    <n v="1"/>
    <n v="0"/>
    <n v="0"/>
    <n v="1"/>
    <n v="0"/>
    <m/>
    <n v="60.5"/>
    <n v="1"/>
  </r>
  <r>
    <s v="USR-100302"/>
    <d v="2025-02-11T00:00:00"/>
    <x v="0"/>
    <s v="North"/>
    <x v="1"/>
    <x v="1"/>
    <s v="Basic"/>
    <n v="1"/>
    <n v="0"/>
    <n v="0"/>
    <n v="0"/>
    <n v="0"/>
    <n v="0"/>
    <n v="0"/>
    <m/>
    <n v="63.6"/>
    <n v="1"/>
  </r>
  <r>
    <s v="USR-100303"/>
    <d v="2025-02-26T00:00:00"/>
    <x v="0"/>
    <s v="North"/>
    <x v="0"/>
    <x v="1"/>
    <s v="Basic"/>
    <n v="1"/>
    <n v="1"/>
    <n v="1"/>
    <n v="1"/>
    <n v="6788.95"/>
    <n v="0"/>
    <n v="0"/>
    <n v="17"/>
    <n v="58.4"/>
    <n v="1"/>
  </r>
  <r>
    <s v="USR-100304"/>
    <d v="2025-02-12T00:00:00"/>
    <x v="0"/>
    <s v="South"/>
    <x v="1"/>
    <x v="4"/>
    <s v="Premium"/>
    <n v="0"/>
    <n v="0"/>
    <n v="0"/>
    <n v="0"/>
    <n v="0"/>
    <n v="0"/>
    <n v="0"/>
    <m/>
    <n v="52.7"/>
    <n v="1"/>
  </r>
  <r>
    <s v="USR-100305"/>
    <d v="2025-01-05T00:00:00"/>
    <x v="0"/>
    <s v="South"/>
    <x v="2"/>
    <x v="4"/>
    <s v="Premium"/>
    <n v="1"/>
    <n v="1"/>
    <n v="1"/>
    <n v="0"/>
    <n v="0"/>
    <n v="2"/>
    <n v="0"/>
    <m/>
    <n v="48.9"/>
    <n v="1"/>
  </r>
  <r>
    <s v="USR-100306"/>
    <d v="2025-05-19T00:00:00"/>
    <x v="0"/>
    <s v="West"/>
    <x v="1"/>
    <x v="1"/>
    <s v="Premium"/>
    <n v="0"/>
    <n v="0"/>
    <n v="0"/>
    <n v="0"/>
    <n v="0"/>
    <n v="0"/>
    <n v="0"/>
    <m/>
    <n v="79.7"/>
    <n v="1"/>
  </r>
  <r>
    <s v="USR-100307"/>
    <d v="2025-02-02T00:00:00"/>
    <x v="0"/>
    <s v="North"/>
    <x v="1"/>
    <x v="4"/>
    <s v="Free"/>
    <n v="1"/>
    <n v="0"/>
    <n v="0"/>
    <n v="0"/>
    <n v="0"/>
    <n v="0"/>
    <n v="0"/>
    <m/>
    <n v="44.9"/>
    <n v="1"/>
  </r>
  <r>
    <s v="USR-100308"/>
    <d v="2025-01-30T00:00:00"/>
    <x v="0"/>
    <s v="West"/>
    <x v="2"/>
    <x v="2"/>
    <s v="Free"/>
    <n v="1"/>
    <n v="1"/>
    <n v="1"/>
    <n v="1"/>
    <n v="409.39"/>
    <n v="0"/>
    <n v="0"/>
    <n v="10"/>
    <n v="38.799999999999997"/>
    <n v="1"/>
  </r>
  <r>
    <s v="USR-100309"/>
    <d v="2025-05-01T00:00:00"/>
    <x v="0"/>
    <s v="South"/>
    <x v="0"/>
    <x v="0"/>
    <s v="Free"/>
    <n v="0"/>
    <n v="0"/>
    <n v="0"/>
    <n v="0"/>
    <n v="0"/>
    <n v="0"/>
    <n v="0"/>
    <m/>
    <n v="70"/>
    <n v="1"/>
  </r>
  <r>
    <s v="USR-100310"/>
    <d v="2025-05-16T00:00:00"/>
    <x v="0"/>
    <s v="South"/>
    <x v="0"/>
    <x v="3"/>
    <s v="Basic"/>
    <n v="1"/>
    <n v="0"/>
    <n v="0"/>
    <n v="0"/>
    <n v="0"/>
    <n v="0"/>
    <n v="0"/>
    <m/>
    <n v="77.7"/>
    <n v="1"/>
  </r>
  <r>
    <s v="USR-100311"/>
    <d v="2025-03-08T00:00:00"/>
    <x v="0"/>
    <s v="West"/>
    <x v="1"/>
    <x v="1"/>
    <s v="Free"/>
    <n v="0"/>
    <n v="0"/>
    <n v="0"/>
    <n v="0"/>
    <n v="0"/>
    <n v="0"/>
    <n v="0"/>
    <m/>
    <n v="71.2"/>
    <n v="1"/>
  </r>
  <r>
    <s v="USR-100312"/>
    <d v="2025-04-04T00:00:00"/>
    <x v="0"/>
    <s v="North"/>
    <x v="1"/>
    <x v="1"/>
    <s v="Basic"/>
    <n v="1"/>
    <n v="0"/>
    <n v="0"/>
    <n v="0"/>
    <n v="0"/>
    <n v="0"/>
    <n v="0"/>
    <m/>
    <n v="43.8"/>
    <n v="1"/>
  </r>
  <r>
    <s v="USR-100313"/>
    <d v="2025-05-30T00:00:00"/>
    <x v="0"/>
    <s v="South"/>
    <x v="2"/>
    <x v="1"/>
    <s v="Free"/>
    <n v="1"/>
    <n v="0"/>
    <n v="0"/>
    <n v="0"/>
    <n v="0"/>
    <n v="0"/>
    <n v="0"/>
    <m/>
    <n v="50.9"/>
    <n v="1"/>
  </r>
  <r>
    <s v="USR-100314"/>
    <d v="2025-01-05T00:00:00"/>
    <x v="0"/>
    <s v="West"/>
    <x v="1"/>
    <x v="1"/>
    <s v="Premium"/>
    <n v="0"/>
    <n v="0"/>
    <n v="0"/>
    <n v="0"/>
    <n v="0"/>
    <n v="0"/>
    <n v="0"/>
    <m/>
    <n v="58.5"/>
    <n v="1"/>
  </r>
  <r>
    <s v="USR-100315"/>
    <d v="2025-01-20T00:00:00"/>
    <x v="0"/>
    <s v="East"/>
    <x v="1"/>
    <x v="1"/>
    <s v="Free"/>
    <n v="1"/>
    <n v="1"/>
    <n v="1"/>
    <n v="0"/>
    <n v="0"/>
    <n v="0"/>
    <n v="0"/>
    <m/>
    <n v="53.6"/>
    <n v="1"/>
  </r>
  <r>
    <s v="USR-100316"/>
    <d v="2025-05-01T00:00:00"/>
    <x v="0"/>
    <s v="East"/>
    <x v="1"/>
    <x v="0"/>
    <s v="Free"/>
    <n v="0"/>
    <n v="0"/>
    <n v="0"/>
    <n v="0"/>
    <n v="0"/>
    <n v="0"/>
    <n v="0"/>
    <m/>
    <n v="54.9"/>
    <n v="1"/>
  </r>
  <r>
    <s v="USR-100317"/>
    <d v="2025-03-05T00:00:00"/>
    <x v="0"/>
    <s v="North"/>
    <x v="0"/>
    <x v="1"/>
    <s v="Premium"/>
    <n v="0"/>
    <n v="0"/>
    <n v="0"/>
    <n v="0"/>
    <n v="0"/>
    <n v="0"/>
    <n v="0"/>
    <m/>
    <n v="57.3"/>
    <n v="1"/>
  </r>
  <r>
    <s v="USR-100318"/>
    <d v="2025-04-01T00:00:00"/>
    <x v="0"/>
    <s v="East"/>
    <x v="0"/>
    <x v="3"/>
    <s v="Free"/>
    <n v="1"/>
    <n v="0"/>
    <n v="0"/>
    <n v="0"/>
    <n v="0"/>
    <n v="0"/>
    <n v="0"/>
    <m/>
    <n v="52.1"/>
    <n v="1"/>
  </r>
  <r>
    <s v="USR-100319"/>
    <d v="2025-05-03T00:00:00"/>
    <x v="0"/>
    <s v="North"/>
    <x v="1"/>
    <x v="1"/>
    <s v="Free"/>
    <n v="1"/>
    <n v="0"/>
    <n v="0"/>
    <n v="0"/>
    <n v="0"/>
    <n v="0"/>
    <n v="0"/>
    <m/>
    <n v="80"/>
    <n v="1"/>
  </r>
  <r>
    <s v="USR-100320"/>
    <d v="2025-03-06T00:00:00"/>
    <x v="0"/>
    <s v="South"/>
    <x v="0"/>
    <x v="2"/>
    <s v="Premium"/>
    <n v="1"/>
    <n v="0"/>
    <n v="0"/>
    <n v="0"/>
    <n v="0"/>
    <n v="0"/>
    <n v="0"/>
    <m/>
    <n v="39.299999999999997"/>
    <n v="1"/>
  </r>
  <r>
    <s v="USR-100321"/>
    <d v="2025-04-01T00:00:00"/>
    <x v="0"/>
    <s v="North"/>
    <x v="0"/>
    <x v="3"/>
    <s v="Premium"/>
    <n v="0"/>
    <n v="0"/>
    <n v="0"/>
    <n v="0"/>
    <n v="0"/>
    <n v="0"/>
    <n v="0"/>
    <m/>
    <n v="45.7"/>
    <n v="1"/>
  </r>
  <r>
    <s v="USR-100322"/>
    <d v="2025-02-09T00:00:00"/>
    <x v="0"/>
    <s v="North"/>
    <x v="0"/>
    <x v="4"/>
    <s v="Basic"/>
    <n v="1"/>
    <n v="0"/>
    <n v="0"/>
    <n v="0"/>
    <n v="0"/>
    <n v="2"/>
    <n v="0"/>
    <m/>
    <n v="61.2"/>
    <n v="1"/>
  </r>
  <r>
    <s v="USR-100323"/>
    <d v="2025-04-12T00:00:00"/>
    <x v="0"/>
    <s v="West"/>
    <x v="1"/>
    <x v="1"/>
    <s v="Basic"/>
    <n v="1"/>
    <n v="1"/>
    <n v="0"/>
    <n v="0"/>
    <n v="0"/>
    <n v="0"/>
    <n v="0"/>
    <m/>
    <n v="66.2"/>
    <n v="1"/>
  </r>
  <r>
    <s v="USR-100324"/>
    <d v="2025-03-18T00:00:00"/>
    <x v="0"/>
    <s v="East"/>
    <x v="1"/>
    <x v="4"/>
    <s v="Free"/>
    <n v="1"/>
    <n v="1"/>
    <n v="1"/>
    <n v="0"/>
    <n v="0"/>
    <n v="0"/>
    <n v="0"/>
    <m/>
    <n v="61.3"/>
    <n v="1"/>
  </r>
  <r>
    <s v="USR-100325"/>
    <d v="2025-04-03T00:00:00"/>
    <x v="0"/>
    <s v="East"/>
    <x v="1"/>
    <x v="2"/>
    <s v="Free"/>
    <n v="1"/>
    <n v="0"/>
    <n v="0"/>
    <n v="0"/>
    <n v="0"/>
    <n v="0"/>
    <n v="0"/>
    <m/>
    <n v="72.2"/>
    <n v="1"/>
  </r>
  <r>
    <s v="USR-100326"/>
    <d v="2025-04-02T00:00:00"/>
    <x v="0"/>
    <s v="West"/>
    <x v="1"/>
    <x v="0"/>
    <s v="Premium"/>
    <n v="1"/>
    <n v="1"/>
    <n v="1"/>
    <n v="0"/>
    <n v="0"/>
    <n v="0"/>
    <n v="0"/>
    <m/>
    <n v="84"/>
    <n v="1"/>
  </r>
  <r>
    <s v="USR-100327"/>
    <d v="2025-05-10T00:00:00"/>
    <x v="0"/>
    <s v="West"/>
    <x v="0"/>
    <x v="0"/>
    <s v="Basic"/>
    <n v="0"/>
    <n v="0"/>
    <n v="0"/>
    <n v="0"/>
    <n v="0"/>
    <n v="0"/>
    <n v="0"/>
    <m/>
    <n v="59.8"/>
    <n v="1"/>
  </r>
  <r>
    <s v="USR-100328"/>
    <d v="2025-04-29T00:00:00"/>
    <x v="0"/>
    <s v="West"/>
    <x v="0"/>
    <x v="2"/>
    <s v="Free"/>
    <n v="1"/>
    <n v="0"/>
    <n v="0"/>
    <n v="0"/>
    <n v="0"/>
    <n v="0"/>
    <n v="0"/>
    <m/>
    <n v="64.900000000000006"/>
    <n v="1"/>
  </r>
  <r>
    <s v="USR-100329"/>
    <d v="2025-02-27T00:00:00"/>
    <x v="0"/>
    <s v="South"/>
    <x v="1"/>
    <x v="2"/>
    <s v="Free"/>
    <n v="1"/>
    <n v="0"/>
    <n v="0"/>
    <n v="0"/>
    <n v="0"/>
    <n v="0"/>
    <n v="0"/>
    <m/>
    <n v="66.8"/>
    <n v="1"/>
  </r>
  <r>
    <s v="USR-100330"/>
    <d v="2025-04-10T00:00:00"/>
    <x v="0"/>
    <s v="North"/>
    <x v="0"/>
    <x v="1"/>
    <s v="Premium"/>
    <n v="0"/>
    <n v="0"/>
    <n v="0"/>
    <n v="0"/>
    <n v="0"/>
    <n v="0"/>
    <n v="0"/>
    <m/>
    <n v="70.900000000000006"/>
    <n v="1"/>
  </r>
  <r>
    <s v="USR-100331"/>
    <d v="2025-02-13T00:00:00"/>
    <x v="0"/>
    <s v="East"/>
    <x v="1"/>
    <x v="1"/>
    <s v="Free"/>
    <n v="1"/>
    <n v="1"/>
    <n v="1"/>
    <n v="1"/>
    <n v="426.82"/>
    <n v="1"/>
    <n v="0"/>
    <n v="14"/>
    <n v="68.8"/>
    <n v="1"/>
  </r>
  <r>
    <s v="USR-100332"/>
    <d v="2025-05-03T00:00:00"/>
    <x v="0"/>
    <s v="North"/>
    <x v="1"/>
    <x v="1"/>
    <s v="Basic"/>
    <n v="1"/>
    <n v="0"/>
    <n v="0"/>
    <n v="0"/>
    <n v="0"/>
    <n v="0"/>
    <n v="0"/>
    <m/>
    <n v="72.400000000000006"/>
    <n v="1"/>
  </r>
  <r>
    <s v="USR-100333"/>
    <d v="2025-03-10T00:00:00"/>
    <x v="0"/>
    <s v="East"/>
    <x v="1"/>
    <x v="1"/>
    <s v="Basic"/>
    <n v="0"/>
    <n v="0"/>
    <n v="0"/>
    <n v="0"/>
    <n v="0"/>
    <n v="0"/>
    <n v="0"/>
    <m/>
    <n v="63.3"/>
    <n v="1"/>
  </r>
  <r>
    <s v="USR-100334"/>
    <d v="2025-01-10T00:00:00"/>
    <x v="0"/>
    <s v="West"/>
    <x v="2"/>
    <x v="4"/>
    <s v="Free"/>
    <n v="1"/>
    <n v="0"/>
    <n v="0"/>
    <n v="0"/>
    <n v="0"/>
    <n v="0"/>
    <n v="0"/>
    <m/>
    <n v="30.8"/>
    <n v="1"/>
  </r>
  <r>
    <s v="USR-100335"/>
    <d v="2025-01-16T00:00:00"/>
    <x v="0"/>
    <s v="South"/>
    <x v="1"/>
    <x v="0"/>
    <s v="Basic"/>
    <n v="1"/>
    <n v="1"/>
    <n v="1"/>
    <n v="1"/>
    <n v="874.55"/>
    <n v="0"/>
    <n v="0"/>
    <n v="9"/>
    <n v="44.2"/>
    <n v="1"/>
  </r>
  <r>
    <s v="USR-100336"/>
    <d v="2025-02-11T00:00:00"/>
    <x v="0"/>
    <s v="South"/>
    <x v="0"/>
    <x v="1"/>
    <s v="Premium"/>
    <n v="1"/>
    <n v="1"/>
    <n v="1"/>
    <n v="1"/>
    <n v="2206.88"/>
    <n v="0"/>
    <n v="0"/>
    <n v="10"/>
    <n v="56.2"/>
    <n v="1"/>
  </r>
  <r>
    <s v="USR-100337"/>
    <d v="2025-04-13T00:00:00"/>
    <x v="0"/>
    <s v="West"/>
    <x v="1"/>
    <x v="1"/>
    <s v="Free"/>
    <n v="0"/>
    <n v="0"/>
    <n v="0"/>
    <n v="0"/>
    <n v="0"/>
    <n v="0"/>
    <n v="0"/>
    <m/>
    <n v="40.4"/>
    <n v="1"/>
  </r>
  <r>
    <s v="USR-100338"/>
    <d v="2025-02-08T00:00:00"/>
    <x v="0"/>
    <s v="East"/>
    <x v="1"/>
    <x v="2"/>
    <s v="Free"/>
    <n v="1"/>
    <n v="1"/>
    <n v="1"/>
    <n v="0"/>
    <n v="0"/>
    <n v="0"/>
    <n v="0"/>
    <m/>
    <n v="68.099999999999994"/>
    <n v="1"/>
  </r>
  <r>
    <s v="USR-100339"/>
    <d v="2025-03-31T00:00:00"/>
    <x v="0"/>
    <s v="West"/>
    <x v="0"/>
    <x v="3"/>
    <s v="Free"/>
    <n v="1"/>
    <n v="0"/>
    <n v="0"/>
    <n v="0"/>
    <n v="0"/>
    <n v="0"/>
    <n v="0"/>
    <m/>
    <n v="86.3"/>
    <n v="1"/>
  </r>
  <r>
    <s v="USR-100340"/>
    <d v="2025-01-31T00:00:00"/>
    <x v="0"/>
    <s v="West"/>
    <x v="0"/>
    <x v="3"/>
    <s v="Free"/>
    <n v="1"/>
    <n v="1"/>
    <n v="0"/>
    <n v="0"/>
    <n v="0"/>
    <n v="0"/>
    <n v="0"/>
    <m/>
    <n v="42.9"/>
    <n v="1"/>
  </r>
  <r>
    <s v="USR-100341"/>
    <d v="2025-05-08T00:00:00"/>
    <x v="0"/>
    <s v="West"/>
    <x v="2"/>
    <x v="1"/>
    <s v="Free"/>
    <n v="0"/>
    <n v="0"/>
    <n v="0"/>
    <n v="0"/>
    <n v="0"/>
    <n v="0"/>
    <n v="0"/>
    <m/>
    <n v="61.4"/>
    <n v="1"/>
  </r>
  <r>
    <s v="USR-100342"/>
    <d v="2025-03-15T00:00:00"/>
    <x v="0"/>
    <s v="North"/>
    <x v="1"/>
    <x v="2"/>
    <s v="Free"/>
    <n v="1"/>
    <n v="0"/>
    <n v="0"/>
    <n v="0"/>
    <n v="0"/>
    <n v="1"/>
    <n v="0"/>
    <m/>
    <n v="73.3"/>
    <n v="1"/>
  </r>
  <r>
    <s v="USR-100343"/>
    <d v="2025-01-13T00:00:00"/>
    <x v="0"/>
    <s v="South"/>
    <x v="1"/>
    <x v="3"/>
    <s v="Basic"/>
    <n v="1"/>
    <n v="0"/>
    <n v="0"/>
    <n v="0"/>
    <n v="0"/>
    <n v="0"/>
    <n v="0"/>
    <m/>
    <n v="59.4"/>
    <n v="1"/>
  </r>
  <r>
    <s v="USR-100344"/>
    <d v="2025-03-07T00:00:00"/>
    <x v="0"/>
    <s v="South"/>
    <x v="2"/>
    <x v="1"/>
    <s v="Basic"/>
    <n v="1"/>
    <n v="0"/>
    <n v="0"/>
    <n v="0"/>
    <n v="0"/>
    <n v="0"/>
    <n v="0"/>
    <m/>
    <n v="35.200000000000003"/>
    <n v="1"/>
  </r>
  <r>
    <s v="USR-100345"/>
    <d v="2025-02-10T00:00:00"/>
    <x v="0"/>
    <s v="South"/>
    <x v="1"/>
    <x v="4"/>
    <s v="Premium"/>
    <n v="1"/>
    <n v="1"/>
    <n v="0"/>
    <n v="0"/>
    <n v="0"/>
    <n v="0"/>
    <n v="0"/>
    <m/>
    <n v="55.3"/>
    <n v="1"/>
  </r>
  <r>
    <s v="USR-100346"/>
    <d v="2025-03-12T00:00:00"/>
    <x v="0"/>
    <s v="East"/>
    <x v="1"/>
    <x v="2"/>
    <s v="Free"/>
    <n v="0"/>
    <n v="0"/>
    <n v="0"/>
    <n v="0"/>
    <n v="0"/>
    <n v="0"/>
    <n v="0"/>
    <m/>
    <n v="37.5"/>
    <n v="1"/>
  </r>
  <r>
    <s v="USR-100347"/>
    <d v="2025-01-03T00:00:00"/>
    <x v="0"/>
    <s v="South"/>
    <x v="0"/>
    <x v="2"/>
    <s v="Free"/>
    <n v="0"/>
    <n v="0"/>
    <n v="0"/>
    <n v="0"/>
    <n v="0"/>
    <n v="1"/>
    <n v="0"/>
    <m/>
    <n v="66.400000000000006"/>
    <n v="1"/>
  </r>
  <r>
    <s v="USR-100348"/>
    <d v="2025-04-28T00:00:00"/>
    <x v="0"/>
    <s v="North"/>
    <x v="2"/>
    <x v="4"/>
    <s v="Basic"/>
    <n v="1"/>
    <n v="0"/>
    <n v="0"/>
    <n v="0"/>
    <n v="0"/>
    <n v="0"/>
    <n v="0"/>
    <m/>
    <n v="61.9"/>
    <n v="1"/>
  </r>
  <r>
    <s v="USR-100349"/>
    <d v="2025-04-17T00:00:00"/>
    <x v="0"/>
    <s v="East"/>
    <x v="1"/>
    <x v="1"/>
    <s v="Free"/>
    <n v="0"/>
    <n v="0"/>
    <n v="0"/>
    <n v="0"/>
    <n v="0"/>
    <n v="0"/>
    <n v="0"/>
    <m/>
    <n v="56"/>
    <n v="1"/>
  </r>
  <r>
    <s v="USR-100350"/>
    <d v="2025-05-23T00:00:00"/>
    <x v="0"/>
    <s v="South"/>
    <x v="0"/>
    <x v="4"/>
    <s v="Basic"/>
    <n v="1"/>
    <n v="0"/>
    <n v="0"/>
    <n v="0"/>
    <n v="0"/>
    <n v="0"/>
    <n v="0"/>
    <m/>
    <n v="55.5"/>
    <n v="1"/>
  </r>
  <r>
    <s v="USR-100351"/>
    <d v="2025-02-19T00:00:00"/>
    <x v="0"/>
    <s v="West"/>
    <x v="2"/>
    <x v="3"/>
    <s v="Basic"/>
    <n v="1"/>
    <n v="0"/>
    <n v="0"/>
    <n v="0"/>
    <n v="0"/>
    <n v="0"/>
    <n v="0"/>
    <m/>
    <n v="37.200000000000003"/>
    <n v="1"/>
  </r>
  <r>
    <s v="USR-100352"/>
    <d v="2025-01-18T00:00:00"/>
    <x v="0"/>
    <s v="South"/>
    <x v="0"/>
    <x v="1"/>
    <s v="Free"/>
    <n v="1"/>
    <n v="1"/>
    <n v="0"/>
    <n v="0"/>
    <n v="0"/>
    <n v="1"/>
    <n v="0"/>
    <m/>
    <n v="70.5"/>
    <n v="1"/>
  </r>
  <r>
    <s v="USR-100353"/>
    <d v="2025-04-17T00:00:00"/>
    <x v="0"/>
    <s v="North"/>
    <x v="1"/>
    <x v="1"/>
    <s v="Free"/>
    <n v="0"/>
    <n v="0"/>
    <n v="0"/>
    <n v="0"/>
    <n v="0"/>
    <n v="0"/>
    <n v="0"/>
    <m/>
    <n v="61.2"/>
    <n v="1"/>
  </r>
  <r>
    <s v="USR-100354"/>
    <d v="2025-04-12T00:00:00"/>
    <x v="0"/>
    <s v="East"/>
    <x v="2"/>
    <x v="4"/>
    <s v="Free"/>
    <n v="1"/>
    <n v="1"/>
    <n v="1"/>
    <n v="0"/>
    <n v="0"/>
    <n v="0"/>
    <n v="0"/>
    <m/>
    <n v="64.599999999999994"/>
    <n v="1"/>
  </r>
  <r>
    <s v="USR-100355"/>
    <d v="2025-05-16T00:00:00"/>
    <x v="0"/>
    <s v="East"/>
    <x v="1"/>
    <x v="0"/>
    <s v="Free"/>
    <n v="1"/>
    <n v="1"/>
    <n v="0"/>
    <n v="0"/>
    <n v="0"/>
    <n v="0"/>
    <n v="0"/>
    <m/>
    <n v="91.7"/>
    <n v="1"/>
  </r>
  <r>
    <s v="USR-100356"/>
    <d v="2025-03-24T00:00:00"/>
    <x v="0"/>
    <s v="West"/>
    <x v="1"/>
    <x v="4"/>
    <s v="Free"/>
    <n v="0"/>
    <n v="0"/>
    <n v="0"/>
    <n v="0"/>
    <n v="0"/>
    <n v="0"/>
    <n v="0"/>
    <m/>
    <n v="46"/>
    <n v="1"/>
  </r>
  <r>
    <s v="USR-100357"/>
    <d v="2025-02-16T00:00:00"/>
    <x v="0"/>
    <s v="West"/>
    <x v="1"/>
    <x v="1"/>
    <s v="Basic"/>
    <n v="0"/>
    <n v="0"/>
    <n v="0"/>
    <n v="0"/>
    <n v="0"/>
    <n v="0"/>
    <n v="0"/>
    <m/>
    <n v="50.8"/>
    <n v="1"/>
  </r>
  <r>
    <s v="USR-100358"/>
    <d v="2025-03-19T00:00:00"/>
    <x v="0"/>
    <s v="North"/>
    <x v="2"/>
    <x v="1"/>
    <s v="Free"/>
    <n v="1"/>
    <n v="1"/>
    <n v="1"/>
    <n v="0"/>
    <n v="0"/>
    <n v="0"/>
    <n v="0"/>
    <m/>
    <n v="52.8"/>
    <n v="1"/>
  </r>
  <r>
    <s v="USR-100359"/>
    <d v="2025-04-21T00:00:00"/>
    <x v="0"/>
    <s v="South"/>
    <x v="1"/>
    <x v="1"/>
    <s v="Basic"/>
    <n v="1"/>
    <n v="1"/>
    <n v="1"/>
    <n v="0"/>
    <n v="0"/>
    <n v="0"/>
    <n v="0"/>
    <m/>
    <n v="63"/>
    <n v="1"/>
  </r>
  <r>
    <s v="USR-100360"/>
    <d v="2025-01-11T00:00:00"/>
    <x v="0"/>
    <s v="West"/>
    <x v="1"/>
    <x v="1"/>
    <s v="Free"/>
    <n v="0"/>
    <n v="0"/>
    <n v="0"/>
    <n v="0"/>
    <n v="0"/>
    <n v="0"/>
    <n v="0"/>
    <m/>
    <n v="28.4"/>
    <n v="1"/>
  </r>
  <r>
    <s v="USR-100361"/>
    <d v="2025-04-24T00:00:00"/>
    <x v="0"/>
    <s v="West"/>
    <x v="0"/>
    <x v="1"/>
    <s v="Free"/>
    <n v="1"/>
    <n v="1"/>
    <n v="0"/>
    <n v="0"/>
    <n v="0"/>
    <n v="0"/>
    <n v="0"/>
    <m/>
    <n v="65.599999999999994"/>
    <n v="1"/>
  </r>
  <r>
    <s v="USR-100362"/>
    <d v="2025-03-13T00:00:00"/>
    <x v="0"/>
    <s v="North"/>
    <x v="1"/>
    <x v="4"/>
    <s v="Premium"/>
    <n v="1"/>
    <n v="1"/>
    <n v="1"/>
    <n v="0"/>
    <n v="0"/>
    <n v="0"/>
    <n v="0"/>
    <m/>
    <n v="54.7"/>
    <n v="1"/>
  </r>
  <r>
    <s v="USR-100363"/>
    <d v="2025-01-30T00:00:00"/>
    <x v="0"/>
    <s v="North"/>
    <x v="1"/>
    <x v="4"/>
    <s v="Basic"/>
    <n v="0"/>
    <n v="0"/>
    <n v="0"/>
    <n v="0"/>
    <n v="0"/>
    <n v="0"/>
    <n v="0"/>
    <m/>
    <n v="36.1"/>
    <n v="1"/>
  </r>
  <r>
    <s v="USR-100364"/>
    <d v="2025-05-08T00:00:00"/>
    <x v="0"/>
    <s v="South"/>
    <x v="1"/>
    <x v="4"/>
    <s v="Basic"/>
    <n v="1"/>
    <n v="1"/>
    <n v="1"/>
    <n v="0"/>
    <n v="0"/>
    <n v="0"/>
    <n v="0"/>
    <m/>
    <n v="70.400000000000006"/>
    <n v="1"/>
  </r>
  <r>
    <s v="USR-100365"/>
    <d v="2025-01-08T00:00:00"/>
    <x v="0"/>
    <s v="East"/>
    <x v="0"/>
    <x v="4"/>
    <s v="Free"/>
    <n v="1"/>
    <n v="0"/>
    <n v="0"/>
    <n v="0"/>
    <n v="0"/>
    <n v="0"/>
    <n v="0"/>
    <m/>
    <n v="56.4"/>
    <n v="1"/>
  </r>
  <r>
    <s v="USR-100366"/>
    <d v="2025-05-03T00:00:00"/>
    <x v="0"/>
    <s v="South"/>
    <x v="1"/>
    <x v="1"/>
    <s v="Free"/>
    <n v="1"/>
    <n v="0"/>
    <n v="0"/>
    <n v="0"/>
    <n v="0"/>
    <n v="0"/>
    <n v="0"/>
    <m/>
    <n v="79.2"/>
    <n v="1"/>
  </r>
  <r>
    <s v="USR-100367"/>
    <d v="2025-02-12T00:00:00"/>
    <x v="0"/>
    <s v="East"/>
    <x v="1"/>
    <x v="2"/>
    <s v="Free"/>
    <n v="1"/>
    <n v="1"/>
    <n v="1"/>
    <n v="0"/>
    <n v="0"/>
    <n v="0"/>
    <n v="0"/>
    <m/>
    <n v="60.1"/>
    <n v="1"/>
  </r>
  <r>
    <s v="USR-100368"/>
    <d v="2025-02-25T00:00:00"/>
    <x v="0"/>
    <s v="South"/>
    <x v="2"/>
    <x v="1"/>
    <s v="Free"/>
    <n v="0"/>
    <n v="0"/>
    <n v="0"/>
    <n v="0"/>
    <n v="0"/>
    <n v="0"/>
    <n v="0"/>
    <m/>
    <n v="58"/>
    <n v="1"/>
  </r>
  <r>
    <s v="USR-100369"/>
    <d v="2025-04-14T00:00:00"/>
    <x v="0"/>
    <s v="South"/>
    <x v="1"/>
    <x v="3"/>
    <s v="Free"/>
    <n v="1"/>
    <n v="1"/>
    <n v="1"/>
    <n v="0"/>
    <n v="0"/>
    <n v="0"/>
    <n v="0"/>
    <m/>
    <n v="69"/>
    <n v="1"/>
  </r>
  <r>
    <s v="USR-100370"/>
    <d v="2025-01-08T00:00:00"/>
    <x v="0"/>
    <s v="North"/>
    <x v="1"/>
    <x v="3"/>
    <s v="Premium"/>
    <n v="1"/>
    <n v="1"/>
    <n v="1"/>
    <n v="0"/>
    <n v="0"/>
    <n v="1"/>
    <n v="0"/>
    <m/>
    <n v="80.8"/>
    <n v="1"/>
  </r>
  <r>
    <s v="USR-100371"/>
    <d v="2025-03-14T00:00:00"/>
    <x v="0"/>
    <s v="East"/>
    <x v="1"/>
    <x v="0"/>
    <s v="Free"/>
    <n v="0"/>
    <n v="0"/>
    <n v="0"/>
    <n v="0"/>
    <n v="0"/>
    <n v="0"/>
    <n v="0"/>
    <m/>
    <n v="32.799999999999997"/>
    <n v="1"/>
  </r>
  <r>
    <s v="USR-100372"/>
    <d v="2025-04-29T00:00:00"/>
    <x v="0"/>
    <s v="North"/>
    <x v="0"/>
    <x v="2"/>
    <s v="Premium"/>
    <n v="1"/>
    <n v="0"/>
    <n v="0"/>
    <n v="0"/>
    <n v="0"/>
    <n v="0"/>
    <n v="0"/>
    <m/>
    <n v="56"/>
    <n v="1"/>
  </r>
  <r>
    <s v="USR-100373"/>
    <d v="2025-05-01T00:00:00"/>
    <x v="0"/>
    <s v="East"/>
    <x v="0"/>
    <x v="4"/>
    <s v="Free"/>
    <n v="1"/>
    <n v="0"/>
    <n v="0"/>
    <n v="0"/>
    <n v="0"/>
    <n v="0"/>
    <n v="0"/>
    <m/>
    <n v="76.400000000000006"/>
    <n v="1"/>
  </r>
  <r>
    <s v="USR-100374"/>
    <d v="2025-03-19T00:00:00"/>
    <x v="0"/>
    <s v="North"/>
    <x v="1"/>
    <x v="3"/>
    <s v="Free"/>
    <n v="1"/>
    <n v="0"/>
    <n v="0"/>
    <n v="0"/>
    <n v="0"/>
    <n v="0"/>
    <n v="0"/>
    <m/>
    <n v="28.5"/>
    <n v="1"/>
  </r>
  <r>
    <s v="USR-100375"/>
    <d v="2025-05-01T00:00:00"/>
    <x v="0"/>
    <s v="South"/>
    <x v="0"/>
    <x v="4"/>
    <s v="Basic"/>
    <n v="1"/>
    <n v="1"/>
    <n v="1"/>
    <n v="0"/>
    <n v="0"/>
    <n v="0"/>
    <n v="0"/>
    <m/>
    <n v="48.3"/>
    <n v="1"/>
  </r>
  <r>
    <s v="USR-100376"/>
    <d v="2025-03-14T00:00:00"/>
    <x v="0"/>
    <s v="West"/>
    <x v="1"/>
    <x v="1"/>
    <s v="Free"/>
    <n v="1"/>
    <n v="1"/>
    <n v="0"/>
    <n v="0"/>
    <n v="0"/>
    <n v="0"/>
    <n v="0"/>
    <m/>
    <n v="43.4"/>
    <n v="1"/>
  </r>
  <r>
    <s v="USR-100377"/>
    <d v="2025-03-23T00:00:00"/>
    <x v="0"/>
    <s v="North"/>
    <x v="1"/>
    <x v="2"/>
    <s v="Free"/>
    <n v="0"/>
    <n v="0"/>
    <n v="0"/>
    <n v="0"/>
    <n v="0"/>
    <n v="0"/>
    <n v="0"/>
    <m/>
    <n v="43"/>
    <n v="1"/>
  </r>
  <r>
    <s v="USR-100378"/>
    <d v="2025-02-08T00:00:00"/>
    <x v="0"/>
    <s v="East"/>
    <x v="1"/>
    <x v="3"/>
    <s v="Basic"/>
    <n v="1"/>
    <n v="1"/>
    <n v="1"/>
    <n v="0"/>
    <n v="0"/>
    <n v="0"/>
    <n v="0"/>
    <m/>
    <n v="91.8"/>
    <n v="1"/>
  </r>
  <r>
    <s v="USR-100379"/>
    <d v="2025-04-15T00:00:00"/>
    <x v="0"/>
    <s v="West"/>
    <x v="2"/>
    <x v="2"/>
    <s v="Basic"/>
    <n v="1"/>
    <n v="0"/>
    <n v="0"/>
    <n v="0"/>
    <n v="0"/>
    <n v="1"/>
    <n v="0"/>
    <m/>
    <n v="69.3"/>
    <n v="1"/>
  </r>
  <r>
    <s v="USR-100380"/>
    <d v="2025-01-03T00:00:00"/>
    <x v="0"/>
    <s v="South"/>
    <x v="0"/>
    <x v="2"/>
    <s v="Basic"/>
    <n v="1"/>
    <n v="0"/>
    <n v="0"/>
    <n v="0"/>
    <n v="0"/>
    <n v="0"/>
    <n v="0"/>
    <m/>
    <n v="58.9"/>
    <n v="1"/>
  </r>
  <r>
    <s v="USR-100381"/>
    <d v="2025-03-23T00:00:00"/>
    <x v="0"/>
    <s v="West"/>
    <x v="1"/>
    <x v="4"/>
    <s v="Free"/>
    <n v="1"/>
    <n v="1"/>
    <n v="1"/>
    <n v="0"/>
    <n v="0"/>
    <n v="0"/>
    <n v="0"/>
    <m/>
    <n v="76"/>
    <n v="1"/>
  </r>
  <r>
    <s v="USR-100382"/>
    <d v="2025-05-27T00:00:00"/>
    <x v="0"/>
    <s v="South"/>
    <x v="1"/>
    <x v="3"/>
    <s v="Premium"/>
    <n v="1"/>
    <n v="0"/>
    <n v="0"/>
    <n v="0"/>
    <n v="0"/>
    <n v="0"/>
    <n v="0"/>
    <m/>
    <n v="46"/>
    <n v="1"/>
  </r>
  <r>
    <s v="USR-100383"/>
    <d v="2025-04-30T00:00:00"/>
    <x v="0"/>
    <s v="East"/>
    <x v="1"/>
    <x v="1"/>
    <s v="Free"/>
    <n v="1"/>
    <n v="0"/>
    <n v="0"/>
    <n v="0"/>
    <n v="0"/>
    <n v="0"/>
    <n v="0"/>
    <m/>
    <n v="54.1"/>
    <n v="1"/>
  </r>
  <r>
    <s v="USR-100384"/>
    <d v="2025-03-07T00:00:00"/>
    <x v="0"/>
    <s v="West"/>
    <x v="1"/>
    <x v="4"/>
    <s v="Basic"/>
    <n v="1"/>
    <n v="0"/>
    <n v="0"/>
    <n v="0"/>
    <n v="0"/>
    <n v="0"/>
    <n v="0"/>
    <m/>
    <n v="82.4"/>
    <n v="1"/>
  </r>
  <r>
    <s v="USR-100385"/>
    <d v="2025-05-10T00:00:00"/>
    <x v="0"/>
    <s v="South"/>
    <x v="1"/>
    <x v="1"/>
    <s v="Basic"/>
    <n v="1"/>
    <n v="1"/>
    <n v="1"/>
    <n v="0"/>
    <n v="0"/>
    <n v="0"/>
    <n v="0"/>
    <m/>
    <n v="71.900000000000006"/>
    <n v="1"/>
  </r>
  <r>
    <s v="USR-100386"/>
    <d v="2025-05-22T00:00:00"/>
    <x v="0"/>
    <s v="East"/>
    <x v="1"/>
    <x v="1"/>
    <s v="Free"/>
    <n v="0"/>
    <n v="0"/>
    <n v="0"/>
    <n v="0"/>
    <n v="0"/>
    <n v="2"/>
    <n v="0"/>
    <m/>
    <n v="38"/>
    <n v="1"/>
  </r>
  <r>
    <s v="USR-100387"/>
    <d v="2025-02-09T00:00:00"/>
    <x v="0"/>
    <s v="East"/>
    <x v="1"/>
    <x v="2"/>
    <s v="Free"/>
    <n v="1"/>
    <n v="1"/>
    <n v="0"/>
    <n v="0"/>
    <n v="0"/>
    <n v="0"/>
    <n v="0"/>
    <m/>
    <n v="43.7"/>
    <n v="1"/>
  </r>
  <r>
    <s v="USR-100388"/>
    <d v="2025-05-30T00:00:00"/>
    <x v="0"/>
    <s v="West"/>
    <x v="0"/>
    <x v="1"/>
    <s v="Premium"/>
    <n v="1"/>
    <n v="0"/>
    <n v="0"/>
    <n v="0"/>
    <n v="0"/>
    <n v="1"/>
    <n v="0"/>
    <m/>
    <n v="32.200000000000003"/>
    <n v="1"/>
  </r>
  <r>
    <s v="USR-100389"/>
    <d v="2025-05-01T00:00:00"/>
    <x v="0"/>
    <s v="South"/>
    <x v="1"/>
    <x v="1"/>
    <s v="Premium"/>
    <n v="1"/>
    <n v="0"/>
    <n v="0"/>
    <n v="0"/>
    <n v="0"/>
    <n v="0"/>
    <n v="0"/>
    <m/>
    <n v="61"/>
    <n v="1"/>
  </r>
  <r>
    <s v="USR-100390"/>
    <d v="2025-01-03T00:00:00"/>
    <x v="0"/>
    <s v="South"/>
    <x v="1"/>
    <x v="2"/>
    <s v="Free"/>
    <n v="1"/>
    <n v="0"/>
    <n v="0"/>
    <n v="0"/>
    <n v="0"/>
    <n v="0"/>
    <n v="0"/>
    <m/>
    <n v="49"/>
    <n v="1"/>
  </r>
  <r>
    <s v="USR-100391"/>
    <d v="2025-02-13T00:00:00"/>
    <x v="0"/>
    <s v="East"/>
    <x v="1"/>
    <x v="1"/>
    <s v="Free"/>
    <n v="0"/>
    <n v="0"/>
    <n v="0"/>
    <n v="0"/>
    <n v="0"/>
    <n v="0"/>
    <n v="0"/>
    <m/>
    <n v="48.1"/>
    <n v="1"/>
  </r>
  <r>
    <s v="USR-100392"/>
    <d v="2025-01-14T00:00:00"/>
    <x v="0"/>
    <s v="South"/>
    <x v="0"/>
    <x v="1"/>
    <s v="Free"/>
    <n v="0"/>
    <n v="0"/>
    <n v="0"/>
    <n v="0"/>
    <n v="0"/>
    <n v="2"/>
    <n v="0"/>
    <m/>
    <n v="46.3"/>
    <n v="1"/>
  </r>
  <r>
    <s v="USR-100393"/>
    <d v="2025-02-24T00:00:00"/>
    <x v="0"/>
    <s v="North"/>
    <x v="1"/>
    <x v="3"/>
    <s v="Free"/>
    <n v="0"/>
    <n v="0"/>
    <n v="0"/>
    <n v="0"/>
    <n v="0"/>
    <n v="0"/>
    <n v="0"/>
    <m/>
    <n v="64"/>
    <n v="1"/>
  </r>
  <r>
    <s v="USR-100394"/>
    <d v="2025-05-16T00:00:00"/>
    <x v="0"/>
    <s v="West"/>
    <x v="0"/>
    <x v="1"/>
    <s v="Basic"/>
    <n v="1"/>
    <n v="1"/>
    <n v="0"/>
    <n v="0"/>
    <n v="0"/>
    <n v="0"/>
    <n v="0"/>
    <m/>
    <n v="56.2"/>
    <n v="1"/>
  </r>
  <r>
    <s v="USR-100395"/>
    <d v="2025-04-29T00:00:00"/>
    <x v="0"/>
    <s v="North"/>
    <x v="1"/>
    <x v="2"/>
    <s v="Free"/>
    <n v="1"/>
    <n v="1"/>
    <n v="1"/>
    <n v="0"/>
    <n v="0"/>
    <n v="0"/>
    <n v="0"/>
    <m/>
    <n v="77.5"/>
    <n v="1"/>
  </r>
  <r>
    <s v="USR-100396"/>
    <d v="2025-04-30T00:00:00"/>
    <x v="0"/>
    <s v="South"/>
    <x v="0"/>
    <x v="0"/>
    <s v="Basic"/>
    <n v="1"/>
    <n v="0"/>
    <n v="0"/>
    <n v="0"/>
    <n v="0"/>
    <n v="0"/>
    <n v="0"/>
    <m/>
    <n v="59.9"/>
    <n v="1"/>
  </r>
  <r>
    <s v="USR-100397"/>
    <d v="2025-01-09T00:00:00"/>
    <x v="0"/>
    <s v="South"/>
    <x v="0"/>
    <x v="1"/>
    <s v="Free"/>
    <n v="1"/>
    <n v="1"/>
    <n v="0"/>
    <n v="0"/>
    <n v="0"/>
    <n v="0"/>
    <n v="0"/>
    <m/>
    <n v="63"/>
    <n v="1"/>
  </r>
  <r>
    <s v="USR-100398"/>
    <d v="2025-04-25T00:00:00"/>
    <x v="0"/>
    <s v="South"/>
    <x v="1"/>
    <x v="1"/>
    <s v="Free"/>
    <n v="1"/>
    <n v="1"/>
    <n v="0"/>
    <n v="0"/>
    <n v="0"/>
    <n v="0"/>
    <n v="0"/>
    <m/>
    <n v="76.5"/>
    <n v="1"/>
  </r>
  <r>
    <s v="USR-100399"/>
    <d v="2025-03-12T00:00:00"/>
    <x v="0"/>
    <s v="North"/>
    <x v="0"/>
    <x v="2"/>
    <s v="Free"/>
    <n v="1"/>
    <n v="0"/>
    <n v="0"/>
    <n v="0"/>
    <n v="0"/>
    <n v="0"/>
    <n v="0"/>
    <m/>
    <n v="39.700000000000003"/>
    <n v="1"/>
  </r>
  <r>
    <s v="USR-100400"/>
    <d v="2025-03-20T00:00:00"/>
    <x v="0"/>
    <s v="North"/>
    <x v="1"/>
    <x v="1"/>
    <s v="Free"/>
    <n v="1"/>
    <n v="1"/>
    <n v="0"/>
    <n v="0"/>
    <n v="0"/>
    <n v="0"/>
    <n v="0"/>
    <m/>
    <n v="80.2"/>
    <n v="1"/>
  </r>
  <r>
    <s v="USR-100401"/>
    <d v="2025-02-18T00:00:00"/>
    <x v="0"/>
    <s v="West"/>
    <x v="1"/>
    <x v="2"/>
    <s v="Free"/>
    <n v="1"/>
    <n v="0"/>
    <n v="0"/>
    <n v="0"/>
    <n v="0"/>
    <n v="0"/>
    <n v="0"/>
    <m/>
    <n v="72.2"/>
    <n v="1"/>
  </r>
  <r>
    <s v="USR-100402"/>
    <d v="2025-01-22T00:00:00"/>
    <x v="0"/>
    <s v="North"/>
    <x v="1"/>
    <x v="4"/>
    <s v="Basic"/>
    <n v="0"/>
    <n v="0"/>
    <n v="0"/>
    <n v="0"/>
    <n v="0"/>
    <n v="0"/>
    <n v="0"/>
    <m/>
    <n v="56"/>
    <n v="1"/>
  </r>
  <r>
    <s v="USR-100403"/>
    <d v="2025-02-08T00:00:00"/>
    <x v="0"/>
    <s v="West"/>
    <x v="1"/>
    <x v="0"/>
    <s v="Basic"/>
    <n v="1"/>
    <n v="1"/>
    <n v="1"/>
    <n v="0"/>
    <n v="0"/>
    <n v="0"/>
    <n v="0"/>
    <m/>
    <n v="69.099999999999994"/>
    <n v="1"/>
  </r>
  <r>
    <s v="USR-100404"/>
    <d v="2025-01-20T00:00:00"/>
    <x v="0"/>
    <s v="North"/>
    <x v="1"/>
    <x v="0"/>
    <s v="Premium"/>
    <n v="0"/>
    <n v="0"/>
    <n v="0"/>
    <n v="0"/>
    <n v="0"/>
    <n v="1"/>
    <n v="0"/>
    <m/>
    <n v="70.599999999999994"/>
    <n v="1"/>
  </r>
  <r>
    <s v="USR-100405"/>
    <d v="2025-04-22T00:00:00"/>
    <x v="0"/>
    <s v="West"/>
    <x v="0"/>
    <x v="3"/>
    <s v="Free"/>
    <n v="1"/>
    <n v="0"/>
    <n v="0"/>
    <n v="0"/>
    <n v="0"/>
    <n v="0"/>
    <n v="0"/>
    <m/>
    <n v="57.9"/>
    <n v="1"/>
  </r>
  <r>
    <s v="USR-100406"/>
    <d v="2025-01-22T00:00:00"/>
    <x v="0"/>
    <s v="East"/>
    <x v="1"/>
    <x v="1"/>
    <s v="Basic"/>
    <n v="1"/>
    <n v="1"/>
    <n v="0"/>
    <n v="0"/>
    <n v="0"/>
    <n v="0"/>
    <n v="0"/>
    <m/>
    <n v="41.4"/>
    <n v="1"/>
  </r>
  <r>
    <s v="USR-100407"/>
    <d v="2025-05-11T00:00:00"/>
    <x v="0"/>
    <s v="West"/>
    <x v="1"/>
    <x v="1"/>
    <s v="Basic"/>
    <n v="1"/>
    <n v="0"/>
    <n v="0"/>
    <n v="0"/>
    <n v="0"/>
    <n v="0"/>
    <n v="0"/>
    <m/>
    <n v="60.9"/>
    <n v="1"/>
  </r>
  <r>
    <s v="USR-100408"/>
    <d v="2025-02-06T00:00:00"/>
    <x v="0"/>
    <s v="South"/>
    <x v="1"/>
    <x v="1"/>
    <s v="Basic"/>
    <n v="0"/>
    <n v="0"/>
    <n v="0"/>
    <n v="0"/>
    <n v="0"/>
    <n v="1"/>
    <n v="0"/>
    <m/>
    <n v="63.8"/>
    <n v="1"/>
  </r>
  <r>
    <s v="USR-100409"/>
    <d v="2025-02-21T00:00:00"/>
    <x v="0"/>
    <s v="North"/>
    <x v="0"/>
    <x v="1"/>
    <s v="Premium"/>
    <n v="1"/>
    <n v="0"/>
    <n v="0"/>
    <n v="0"/>
    <n v="0"/>
    <n v="0"/>
    <n v="0"/>
    <m/>
    <n v="79.2"/>
    <n v="1"/>
  </r>
  <r>
    <s v="USR-100410"/>
    <d v="2025-01-13T00:00:00"/>
    <x v="0"/>
    <s v="West"/>
    <x v="1"/>
    <x v="0"/>
    <s v="Premium"/>
    <n v="1"/>
    <n v="1"/>
    <n v="1"/>
    <n v="0"/>
    <n v="0"/>
    <n v="0"/>
    <n v="0"/>
    <m/>
    <n v="53.3"/>
    <n v="1"/>
  </r>
  <r>
    <s v="USR-100411"/>
    <d v="2025-03-07T00:00:00"/>
    <x v="0"/>
    <s v="North"/>
    <x v="1"/>
    <x v="3"/>
    <s v="Premium"/>
    <n v="1"/>
    <n v="1"/>
    <n v="1"/>
    <n v="1"/>
    <n v="2144.8200000000002"/>
    <n v="0"/>
    <n v="0"/>
    <n v="6"/>
    <n v="52.3"/>
    <n v="1"/>
  </r>
  <r>
    <s v="USR-100412"/>
    <d v="2025-02-26T00:00:00"/>
    <x v="0"/>
    <s v="West"/>
    <x v="0"/>
    <x v="1"/>
    <s v="Basic"/>
    <n v="1"/>
    <n v="1"/>
    <n v="0"/>
    <n v="0"/>
    <n v="0"/>
    <n v="0"/>
    <n v="0"/>
    <m/>
    <n v="62.4"/>
    <n v="1"/>
  </r>
  <r>
    <s v="USR-100413"/>
    <d v="2025-05-05T00:00:00"/>
    <x v="0"/>
    <s v="North"/>
    <x v="1"/>
    <x v="3"/>
    <s v="Premium"/>
    <n v="1"/>
    <n v="0"/>
    <n v="0"/>
    <n v="0"/>
    <n v="0"/>
    <n v="0"/>
    <n v="0"/>
    <m/>
    <n v="45.5"/>
    <n v="1"/>
  </r>
  <r>
    <s v="USR-100414"/>
    <d v="2025-01-08T00:00:00"/>
    <x v="0"/>
    <s v="East"/>
    <x v="0"/>
    <x v="1"/>
    <s v="Basic"/>
    <n v="0"/>
    <n v="0"/>
    <n v="0"/>
    <n v="0"/>
    <n v="0"/>
    <n v="1"/>
    <n v="0"/>
    <m/>
    <n v="72.599999999999994"/>
    <n v="1"/>
  </r>
  <r>
    <s v="USR-100415"/>
    <d v="2025-03-19T00:00:00"/>
    <x v="0"/>
    <s v="South"/>
    <x v="1"/>
    <x v="0"/>
    <s v="Premium"/>
    <n v="1"/>
    <n v="1"/>
    <n v="1"/>
    <n v="0"/>
    <n v="0"/>
    <n v="0"/>
    <n v="0"/>
    <m/>
    <n v="50.1"/>
    <n v="1"/>
  </r>
  <r>
    <s v="USR-100416"/>
    <d v="2025-01-30T00:00:00"/>
    <x v="0"/>
    <s v="East"/>
    <x v="0"/>
    <x v="2"/>
    <s v="Free"/>
    <n v="1"/>
    <n v="1"/>
    <n v="1"/>
    <n v="0"/>
    <n v="0"/>
    <n v="2"/>
    <n v="0"/>
    <m/>
    <n v="58.1"/>
    <n v="1"/>
  </r>
  <r>
    <s v="USR-100417"/>
    <d v="2025-04-28T00:00:00"/>
    <x v="0"/>
    <s v="East"/>
    <x v="1"/>
    <x v="1"/>
    <s v="Basic"/>
    <n v="1"/>
    <n v="0"/>
    <n v="0"/>
    <n v="0"/>
    <n v="0"/>
    <n v="0"/>
    <n v="0"/>
    <m/>
    <n v="42.9"/>
    <n v="1"/>
  </r>
  <r>
    <s v="USR-100418"/>
    <d v="2025-03-07T00:00:00"/>
    <x v="0"/>
    <s v="North"/>
    <x v="1"/>
    <x v="3"/>
    <s v="Basic"/>
    <n v="0"/>
    <n v="0"/>
    <n v="0"/>
    <n v="0"/>
    <n v="0"/>
    <n v="0"/>
    <n v="0"/>
    <m/>
    <n v="69.7"/>
    <n v="1"/>
  </r>
  <r>
    <s v="USR-100419"/>
    <d v="2025-04-07T00:00:00"/>
    <x v="0"/>
    <s v="North"/>
    <x v="0"/>
    <x v="1"/>
    <s v="Free"/>
    <n v="0"/>
    <n v="0"/>
    <n v="0"/>
    <n v="0"/>
    <n v="0"/>
    <n v="0"/>
    <n v="0"/>
    <m/>
    <n v="63.3"/>
    <n v="1"/>
  </r>
  <r>
    <s v="USR-100420"/>
    <d v="2025-05-08T00:00:00"/>
    <x v="0"/>
    <s v="North"/>
    <x v="0"/>
    <x v="1"/>
    <s v="Premium"/>
    <n v="1"/>
    <n v="0"/>
    <n v="0"/>
    <n v="0"/>
    <n v="0"/>
    <n v="0"/>
    <n v="0"/>
    <m/>
    <n v="71.2"/>
    <n v="1"/>
  </r>
  <r>
    <s v="USR-100421"/>
    <d v="2025-04-15T00:00:00"/>
    <x v="0"/>
    <s v="South"/>
    <x v="1"/>
    <x v="0"/>
    <s v="Free"/>
    <n v="1"/>
    <n v="0"/>
    <n v="0"/>
    <n v="0"/>
    <n v="0"/>
    <n v="0"/>
    <n v="0"/>
    <m/>
    <n v="39.1"/>
    <n v="1"/>
  </r>
  <r>
    <s v="USR-100422"/>
    <d v="2025-04-20T00:00:00"/>
    <x v="0"/>
    <s v="East"/>
    <x v="0"/>
    <x v="4"/>
    <s v="Free"/>
    <n v="1"/>
    <n v="0"/>
    <n v="0"/>
    <n v="0"/>
    <n v="0"/>
    <n v="0"/>
    <n v="0"/>
    <m/>
    <n v="42.6"/>
    <n v="1"/>
  </r>
  <r>
    <s v="USR-100423"/>
    <d v="2025-05-30T00:00:00"/>
    <x v="0"/>
    <s v="South"/>
    <x v="2"/>
    <x v="1"/>
    <s v="Free"/>
    <n v="0"/>
    <n v="0"/>
    <n v="0"/>
    <n v="0"/>
    <n v="0"/>
    <n v="0"/>
    <n v="0"/>
    <m/>
    <n v="74.400000000000006"/>
    <n v="1"/>
  </r>
  <r>
    <s v="USR-100424"/>
    <d v="2025-02-13T00:00:00"/>
    <x v="0"/>
    <s v="West"/>
    <x v="1"/>
    <x v="3"/>
    <s v="Free"/>
    <n v="0"/>
    <n v="0"/>
    <n v="0"/>
    <n v="0"/>
    <n v="0"/>
    <n v="0"/>
    <n v="0"/>
    <m/>
    <n v="55.6"/>
    <n v="1"/>
  </r>
  <r>
    <s v="USR-100425"/>
    <d v="2025-04-28T00:00:00"/>
    <x v="0"/>
    <s v="West"/>
    <x v="1"/>
    <x v="4"/>
    <s v="Free"/>
    <n v="1"/>
    <n v="0"/>
    <n v="0"/>
    <n v="0"/>
    <n v="0"/>
    <n v="0"/>
    <n v="0"/>
    <m/>
    <n v="35.799999999999997"/>
    <n v="1"/>
  </r>
  <r>
    <s v="USR-100426"/>
    <d v="2025-02-12T00:00:00"/>
    <x v="0"/>
    <s v="North"/>
    <x v="1"/>
    <x v="2"/>
    <s v="Basic"/>
    <n v="1"/>
    <n v="0"/>
    <n v="0"/>
    <n v="0"/>
    <n v="0"/>
    <n v="1"/>
    <n v="0"/>
    <m/>
    <n v="28.2"/>
    <n v="1"/>
  </r>
  <r>
    <s v="USR-100427"/>
    <d v="2025-02-12T00:00:00"/>
    <x v="0"/>
    <s v="East"/>
    <x v="1"/>
    <x v="1"/>
    <s v="Free"/>
    <n v="0"/>
    <n v="0"/>
    <n v="0"/>
    <n v="0"/>
    <n v="0"/>
    <n v="2"/>
    <n v="0"/>
    <m/>
    <n v="44.4"/>
    <n v="1"/>
  </r>
  <r>
    <s v="USR-100428"/>
    <d v="2025-03-27T00:00:00"/>
    <x v="0"/>
    <s v="North"/>
    <x v="1"/>
    <x v="0"/>
    <s v="Premium"/>
    <n v="1"/>
    <n v="0"/>
    <n v="0"/>
    <n v="0"/>
    <n v="0"/>
    <n v="0"/>
    <n v="0"/>
    <m/>
    <n v="49.9"/>
    <n v="1"/>
  </r>
  <r>
    <s v="USR-100429"/>
    <d v="2025-04-12T00:00:00"/>
    <x v="0"/>
    <s v="South"/>
    <x v="0"/>
    <x v="1"/>
    <s v="Free"/>
    <n v="0"/>
    <n v="0"/>
    <n v="0"/>
    <n v="0"/>
    <n v="0"/>
    <n v="0"/>
    <n v="0"/>
    <m/>
    <n v="40.4"/>
    <n v="1"/>
  </r>
  <r>
    <s v="USR-100430"/>
    <d v="2025-01-30T00:00:00"/>
    <x v="0"/>
    <s v="West"/>
    <x v="1"/>
    <x v="4"/>
    <s v="Free"/>
    <n v="0"/>
    <n v="0"/>
    <n v="0"/>
    <n v="0"/>
    <n v="0"/>
    <n v="0"/>
    <n v="0"/>
    <m/>
    <n v="60.4"/>
    <n v="1"/>
  </r>
  <r>
    <s v="USR-100431"/>
    <d v="2025-05-28T00:00:00"/>
    <x v="0"/>
    <s v="West"/>
    <x v="1"/>
    <x v="4"/>
    <s v="Premium"/>
    <n v="0"/>
    <n v="0"/>
    <n v="0"/>
    <n v="0"/>
    <n v="0"/>
    <n v="1"/>
    <n v="0"/>
    <m/>
    <n v="52.4"/>
    <n v="1"/>
  </r>
  <r>
    <s v="USR-100432"/>
    <d v="2025-05-01T00:00:00"/>
    <x v="0"/>
    <s v="South"/>
    <x v="1"/>
    <x v="1"/>
    <s v="Basic"/>
    <n v="1"/>
    <n v="1"/>
    <n v="0"/>
    <n v="0"/>
    <n v="0"/>
    <n v="0"/>
    <n v="0"/>
    <m/>
    <n v="48.8"/>
    <n v="1"/>
  </r>
  <r>
    <s v="USR-100433"/>
    <d v="2025-02-03T00:00:00"/>
    <x v="0"/>
    <s v="North"/>
    <x v="2"/>
    <x v="0"/>
    <s v="Basic"/>
    <n v="1"/>
    <n v="0"/>
    <n v="0"/>
    <n v="0"/>
    <n v="0"/>
    <n v="0"/>
    <n v="0"/>
    <m/>
    <n v="60.9"/>
    <n v="1"/>
  </r>
  <r>
    <s v="USR-100434"/>
    <d v="2025-01-10T00:00:00"/>
    <x v="0"/>
    <s v="South"/>
    <x v="0"/>
    <x v="4"/>
    <s v="Basic"/>
    <n v="0"/>
    <n v="0"/>
    <n v="0"/>
    <n v="0"/>
    <n v="0"/>
    <n v="0"/>
    <n v="0"/>
    <m/>
    <n v="68.2"/>
    <n v="1"/>
  </r>
  <r>
    <s v="USR-100435"/>
    <d v="2025-05-02T00:00:00"/>
    <x v="0"/>
    <s v="North"/>
    <x v="0"/>
    <x v="1"/>
    <s v="Basic"/>
    <n v="1"/>
    <n v="0"/>
    <n v="0"/>
    <n v="0"/>
    <n v="0"/>
    <n v="0"/>
    <n v="0"/>
    <m/>
    <n v="65.599999999999994"/>
    <n v="1"/>
  </r>
  <r>
    <s v="USR-100436"/>
    <d v="2025-05-26T00:00:00"/>
    <x v="0"/>
    <s v="North"/>
    <x v="0"/>
    <x v="1"/>
    <s v="Basic"/>
    <n v="1"/>
    <n v="0"/>
    <n v="0"/>
    <n v="0"/>
    <n v="0"/>
    <n v="0"/>
    <n v="0"/>
    <m/>
    <n v="65.400000000000006"/>
    <n v="1"/>
  </r>
  <r>
    <s v="USR-100437"/>
    <d v="2025-01-12T00:00:00"/>
    <x v="0"/>
    <s v="West"/>
    <x v="1"/>
    <x v="1"/>
    <s v="Basic"/>
    <n v="1"/>
    <n v="0"/>
    <n v="0"/>
    <n v="0"/>
    <n v="0"/>
    <n v="0"/>
    <n v="0"/>
    <m/>
    <n v="78.900000000000006"/>
    <n v="1"/>
  </r>
  <r>
    <s v="USR-100438"/>
    <d v="2025-05-27T00:00:00"/>
    <x v="0"/>
    <s v="East"/>
    <x v="1"/>
    <x v="2"/>
    <s v="Basic"/>
    <n v="1"/>
    <n v="1"/>
    <n v="1"/>
    <n v="0"/>
    <n v="0"/>
    <n v="0"/>
    <n v="0"/>
    <m/>
    <n v="78.3"/>
    <n v="1"/>
  </r>
  <r>
    <s v="USR-100439"/>
    <d v="2025-05-22T00:00:00"/>
    <x v="0"/>
    <s v="West"/>
    <x v="0"/>
    <x v="0"/>
    <s v="Basic"/>
    <n v="0"/>
    <n v="0"/>
    <n v="0"/>
    <n v="0"/>
    <n v="0"/>
    <n v="0"/>
    <n v="0"/>
    <m/>
    <n v="49.2"/>
    <n v="1"/>
  </r>
  <r>
    <s v="USR-100440"/>
    <d v="2025-04-01T00:00:00"/>
    <x v="0"/>
    <s v="East"/>
    <x v="1"/>
    <x v="4"/>
    <s v="Premium"/>
    <n v="1"/>
    <n v="1"/>
    <n v="1"/>
    <n v="1"/>
    <n v="1518.83"/>
    <n v="0"/>
    <n v="0"/>
    <n v="9"/>
    <n v="32.200000000000003"/>
    <n v="1"/>
  </r>
  <r>
    <s v="USR-100441"/>
    <d v="2025-01-22T00:00:00"/>
    <x v="0"/>
    <s v="North"/>
    <x v="1"/>
    <x v="2"/>
    <s v="Basic"/>
    <n v="1"/>
    <n v="1"/>
    <n v="1"/>
    <n v="0"/>
    <n v="0"/>
    <n v="0"/>
    <n v="0"/>
    <m/>
    <n v="46.3"/>
    <n v="1"/>
  </r>
  <r>
    <s v="USR-100442"/>
    <d v="2025-05-24T00:00:00"/>
    <x v="0"/>
    <s v="East"/>
    <x v="1"/>
    <x v="2"/>
    <s v="Basic"/>
    <n v="1"/>
    <n v="0"/>
    <n v="0"/>
    <n v="0"/>
    <n v="0"/>
    <n v="0"/>
    <n v="0"/>
    <m/>
    <n v="55.7"/>
    <n v="1"/>
  </r>
  <r>
    <s v="USR-100443"/>
    <d v="2025-04-25T00:00:00"/>
    <x v="0"/>
    <s v="South"/>
    <x v="1"/>
    <x v="4"/>
    <s v="Free"/>
    <n v="1"/>
    <n v="0"/>
    <n v="0"/>
    <n v="0"/>
    <n v="0"/>
    <n v="0"/>
    <n v="0"/>
    <m/>
    <n v="44.5"/>
    <n v="1"/>
  </r>
  <r>
    <s v="USR-100444"/>
    <d v="2025-04-12T00:00:00"/>
    <x v="0"/>
    <s v="West"/>
    <x v="0"/>
    <x v="3"/>
    <s v="Free"/>
    <n v="1"/>
    <n v="1"/>
    <n v="1"/>
    <n v="0"/>
    <n v="0"/>
    <n v="1"/>
    <n v="0"/>
    <m/>
    <n v="47.9"/>
    <n v="1"/>
  </r>
  <r>
    <s v="USR-100445"/>
    <d v="2025-04-23T00:00:00"/>
    <x v="0"/>
    <s v="South"/>
    <x v="1"/>
    <x v="1"/>
    <s v="Premium"/>
    <n v="1"/>
    <n v="0"/>
    <n v="0"/>
    <n v="0"/>
    <n v="0"/>
    <n v="0"/>
    <n v="0"/>
    <m/>
    <n v="43.9"/>
    <n v="1"/>
  </r>
  <r>
    <s v="USR-100446"/>
    <d v="2025-03-30T00:00:00"/>
    <x v="0"/>
    <s v="North"/>
    <x v="0"/>
    <x v="3"/>
    <s v="Free"/>
    <n v="1"/>
    <n v="1"/>
    <n v="1"/>
    <n v="0"/>
    <n v="0"/>
    <n v="1"/>
    <n v="0"/>
    <m/>
    <n v="67.7"/>
    <n v="1"/>
  </r>
  <r>
    <s v="USR-100447"/>
    <d v="2025-01-18T00:00:00"/>
    <x v="0"/>
    <s v="East"/>
    <x v="1"/>
    <x v="3"/>
    <s v="Basic"/>
    <n v="0"/>
    <n v="0"/>
    <n v="0"/>
    <n v="0"/>
    <n v="0"/>
    <n v="0"/>
    <n v="0"/>
    <m/>
    <n v="43.7"/>
    <n v="1"/>
  </r>
  <r>
    <s v="USR-100448"/>
    <d v="2025-04-09T00:00:00"/>
    <x v="0"/>
    <s v="East"/>
    <x v="1"/>
    <x v="1"/>
    <s v="Free"/>
    <n v="1"/>
    <n v="0"/>
    <n v="0"/>
    <n v="0"/>
    <n v="0"/>
    <n v="0"/>
    <n v="0"/>
    <m/>
    <n v="68.8"/>
    <n v="1"/>
  </r>
  <r>
    <s v="USR-100449"/>
    <d v="2025-01-11T00:00:00"/>
    <x v="0"/>
    <s v="West"/>
    <x v="1"/>
    <x v="1"/>
    <s v="Free"/>
    <n v="1"/>
    <n v="1"/>
    <n v="1"/>
    <n v="0"/>
    <n v="0"/>
    <n v="0"/>
    <n v="0"/>
    <m/>
    <n v="59.2"/>
    <n v="1"/>
  </r>
  <r>
    <s v="USR-100450"/>
    <d v="2025-03-05T00:00:00"/>
    <x v="0"/>
    <s v="East"/>
    <x v="1"/>
    <x v="2"/>
    <s v="Free"/>
    <n v="1"/>
    <n v="0"/>
    <n v="0"/>
    <n v="0"/>
    <n v="0"/>
    <n v="0"/>
    <n v="0"/>
    <m/>
    <n v="48.6"/>
    <n v="1"/>
  </r>
  <r>
    <s v="USR-100451"/>
    <d v="2025-02-17T00:00:00"/>
    <x v="0"/>
    <s v="North"/>
    <x v="2"/>
    <x v="4"/>
    <s v="Free"/>
    <n v="1"/>
    <n v="1"/>
    <n v="1"/>
    <n v="0"/>
    <n v="0"/>
    <n v="0"/>
    <n v="0"/>
    <m/>
    <n v="56.9"/>
    <n v="1"/>
  </r>
  <r>
    <s v="USR-100452"/>
    <d v="2025-05-07T00:00:00"/>
    <x v="0"/>
    <s v="North"/>
    <x v="0"/>
    <x v="2"/>
    <s v="Free"/>
    <n v="0"/>
    <n v="0"/>
    <n v="0"/>
    <n v="0"/>
    <n v="0"/>
    <n v="0"/>
    <n v="0"/>
    <m/>
    <n v="55.8"/>
    <n v="1"/>
  </r>
  <r>
    <s v="USR-100453"/>
    <d v="2025-04-10T00:00:00"/>
    <x v="0"/>
    <s v="East"/>
    <x v="1"/>
    <x v="2"/>
    <s v="Premium"/>
    <n v="0"/>
    <n v="0"/>
    <n v="0"/>
    <n v="0"/>
    <n v="0"/>
    <n v="0"/>
    <n v="0"/>
    <m/>
    <n v="63.3"/>
    <n v="1"/>
  </r>
  <r>
    <s v="USR-100454"/>
    <d v="2025-04-21T00:00:00"/>
    <x v="0"/>
    <s v="North"/>
    <x v="1"/>
    <x v="4"/>
    <s v="Free"/>
    <n v="1"/>
    <n v="0"/>
    <n v="0"/>
    <n v="0"/>
    <n v="0"/>
    <n v="0"/>
    <n v="0"/>
    <m/>
    <n v="52.2"/>
    <n v="1"/>
  </r>
  <r>
    <s v="USR-100455"/>
    <d v="2025-02-25T00:00:00"/>
    <x v="0"/>
    <s v="South"/>
    <x v="2"/>
    <x v="5"/>
    <s v="Free"/>
    <n v="0"/>
    <n v="0"/>
    <n v="0"/>
    <n v="0"/>
    <n v="0"/>
    <n v="0"/>
    <n v="0"/>
    <m/>
    <n v="51.5"/>
    <n v="1"/>
  </r>
  <r>
    <s v="USR-100456"/>
    <d v="2025-05-14T00:00:00"/>
    <x v="0"/>
    <s v="East"/>
    <x v="0"/>
    <x v="1"/>
    <s v="Free"/>
    <n v="0"/>
    <n v="0"/>
    <n v="0"/>
    <n v="0"/>
    <n v="0"/>
    <n v="0"/>
    <n v="0"/>
    <m/>
    <n v="50.3"/>
    <n v="1"/>
  </r>
  <r>
    <s v="USR-100457"/>
    <d v="2025-03-10T00:00:00"/>
    <x v="0"/>
    <s v="North"/>
    <x v="1"/>
    <x v="0"/>
    <s v="Basic"/>
    <n v="1"/>
    <n v="0"/>
    <n v="0"/>
    <n v="0"/>
    <n v="0"/>
    <n v="1"/>
    <n v="0"/>
    <m/>
    <n v="35.4"/>
    <n v="1"/>
  </r>
  <r>
    <s v="USR-100458"/>
    <d v="2025-01-31T00:00:00"/>
    <x v="0"/>
    <s v="West"/>
    <x v="0"/>
    <x v="1"/>
    <s v="Premium"/>
    <n v="1"/>
    <n v="0"/>
    <n v="0"/>
    <n v="0"/>
    <n v="0"/>
    <n v="1"/>
    <n v="0"/>
    <m/>
    <n v="54.1"/>
    <n v="1"/>
  </r>
  <r>
    <s v="USR-100459"/>
    <d v="2025-01-17T00:00:00"/>
    <x v="0"/>
    <s v="South"/>
    <x v="1"/>
    <x v="1"/>
    <s v="Premium"/>
    <n v="1"/>
    <n v="0"/>
    <n v="0"/>
    <n v="0"/>
    <n v="0"/>
    <n v="0"/>
    <n v="0"/>
    <m/>
    <n v="56.2"/>
    <n v="1"/>
  </r>
  <r>
    <s v="USR-100460"/>
    <d v="2025-03-12T00:00:00"/>
    <x v="0"/>
    <s v="South"/>
    <x v="1"/>
    <x v="2"/>
    <s v="Free"/>
    <n v="0"/>
    <n v="0"/>
    <n v="0"/>
    <n v="0"/>
    <n v="0"/>
    <n v="3"/>
    <n v="0"/>
    <m/>
    <n v="43.7"/>
    <n v="1"/>
  </r>
  <r>
    <s v="USR-100461"/>
    <d v="2025-02-28T00:00:00"/>
    <x v="0"/>
    <s v="West"/>
    <x v="0"/>
    <x v="1"/>
    <s v="Premium"/>
    <n v="1"/>
    <n v="1"/>
    <n v="0"/>
    <n v="0"/>
    <n v="0"/>
    <n v="0"/>
    <n v="0"/>
    <m/>
    <n v="51.3"/>
    <n v="1"/>
  </r>
  <r>
    <s v="USR-100462"/>
    <d v="2025-05-19T00:00:00"/>
    <x v="0"/>
    <s v="North"/>
    <x v="3"/>
    <x v="1"/>
    <s v="Basic"/>
    <n v="1"/>
    <n v="0"/>
    <n v="0"/>
    <n v="0"/>
    <n v="0"/>
    <n v="0"/>
    <n v="0"/>
    <m/>
    <n v="50.5"/>
    <n v="1"/>
  </r>
  <r>
    <s v="USR-100463"/>
    <d v="2025-02-23T00:00:00"/>
    <x v="0"/>
    <s v="North"/>
    <x v="1"/>
    <x v="3"/>
    <s v="Basic"/>
    <n v="1"/>
    <n v="0"/>
    <n v="0"/>
    <n v="0"/>
    <n v="0"/>
    <n v="0"/>
    <n v="0"/>
    <m/>
    <n v="57.3"/>
    <n v="1"/>
  </r>
  <r>
    <s v="USR-100464"/>
    <d v="2025-02-20T00:00:00"/>
    <x v="0"/>
    <s v="West"/>
    <x v="0"/>
    <x v="1"/>
    <s v="Free"/>
    <n v="1"/>
    <n v="1"/>
    <n v="1"/>
    <n v="0"/>
    <n v="0"/>
    <n v="0"/>
    <n v="0"/>
    <m/>
    <n v="58.4"/>
    <n v="1"/>
  </r>
  <r>
    <s v="USR-100465"/>
    <d v="2025-04-12T00:00:00"/>
    <x v="0"/>
    <s v="North"/>
    <x v="1"/>
    <x v="5"/>
    <s v="Free"/>
    <n v="0"/>
    <n v="0"/>
    <n v="0"/>
    <n v="0"/>
    <n v="0"/>
    <n v="0"/>
    <n v="0"/>
    <m/>
    <n v="56.5"/>
    <n v="1"/>
  </r>
  <r>
    <s v="USR-100466"/>
    <d v="2025-01-08T00:00:00"/>
    <x v="0"/>
    <s v="West"/>
    <x v="1"/>
    <x v="0"/>
    <s v="Free"/>
    <n v="0"/>
    <n v="0"/>
    <n v="0"/>
    <n v="0"/>
    <n v="0"/>
    <n v="0"/>
    <n v="0"/>
    <m/>
    <n v="69.599999999999994"/>
    <n v="1"/>
  </r>
  <r>
    <s v="USR-100467"/>
    <d v="2025-02-13T00:00:00"/>
    <x v="0"/>
    <s v="West"/>
    <x v="1"/>
    <x v="1"/>
    <s v="Basic"/>
    <n v="0"/>
    <n v="0"/>
    <n v="0"/>
    <n v="0"/>
    <n v="0"/>
    <n v="0"/>
    <n v="0"/>
    <m/>
    <n v="6.2"/>
    <n v="1"/>
  </r>
  <r>
    <s v="USR-100468"/>
    <d v="2025-05-21T00:00:00"/>
    <x v="0"/>
    <s v="East"/>
    <x v="0"/>
    <x v="0"/>
    <s v="Free"/>
    <n v="1"/>
    <n v="1"/>
    <n v="1"/>
    <n v="0"/>
    <n v="0"/>
    <n v="0"/>
    <n v="0"/>
    <m/>
    <n v="54.3"/>
    <n v="1"/>
  </r>
  <r>
    <s v="USR-100469"/>
    <d v="2025-05-30T00:00:00"/>
    <x v="0"/>
    <s v="North"/>
    <x v="1"/>
    <x v="1"/>
    <s v="Basic"/>
    <n v="0"/>
    <n v="0"/>
    <n v="0"/>
    <n v="0"/>
    <n v="0"/>
    <n v="0"/>
    <n v="0"/>
    <m/>
    <n v="59.8"/>
    <n v="1"/>
  </r>
  <r>
    <s v="USR-100470"/>
    <d v="2025-05-20T00:00:00"/>
    <x v="0"/>
    <s v="West"/>
    <x v="1"/>
    <x v="2"/>
    <s v="Free"/>
    <n v="0"/>
    <n v="0"/>
    <n v="0"/>
    <n v="0"/>
    <n v="0"/>
    <n v="0"/>
    <n v="0"/>
    <m/>
    <n v="58.9"/>
    <n v="1"/>
  </r>
  <r>
    <s v="USR-100471"/>
    <d v="2025-01-09T00:00:00"/>
    <x v="0"/>
    <s v="East"/>
    <x v="0"/>
    <x v="1"/>
    <s v="Free"/>
    <n v="0"/>
    <n v="0"/>
    <n v="0"/>
    <n v="0"/>
    <n v="0"/>
    <n v="1"/>
    <n v="0"/>
    <m/>
    <n v="52.9"/>
    <n v="1"/>
  </r>
  <r>
    <s v="USR-100472"/>
    <d v="2025-03-07T00:00:00"/>
    <x v="0"/>
    <s v="West"/>
    <x v="1"/>
    <x v="1"/>
    <s v="Free"/>
    <n v="0"/>
    <n v="0"/>
    <n v="0"/>
    <n v="0"/>
    <n v="0"/>
    <n v="0"/>
    <n v="0"/>
    <m/>
    <n v="67.8"/>
    <n v="1"/>
  </r>
  <r>
    <s v="USR-100473"/>
    <d v="2025-04-23T00:00:00"/>
    <x v="0"/>
    <s v="South"/>
    <x v="1"/>
    <x v="4"/>
    <s v="Free"/>
    <n v="0"/>
    <n v="0"/>
    <n v="0"/>
    <n v="0"/>
    <n v="0"/>
    <n v="0"/>
    <n v="0"/>
    <m/>
    <n v="48.7"/>
    <n v="1"/>
  </r>
  <r>
    <s v="USR-100474"/>
    <d v="2025-03-08T00:00:00"/>
    <x v="0"/>
    <s v="East"/>
    <x v="1"/>
    <x v="1"/>
    <s v="Basic"/>
    <n v="0"/>
    <n v="0"/>
    <n v="0"/>
    <n v="0"/>
    <n v="0"/>
    <n v="0"/>
    <n v="0"/>
    <m/>
    <n v="59"/>
    <n v="1"/>
  </r>
  <r>
    <s v="USR-100475"/>
    <d v="2025-02-14T00:00:00"/>
    <x v="0"/>
    <s v="South"/>
    <x v="1"/>
    <x v="3"/>
    <s v="Free"/>
    <n v="0"/>
    <n v="0"/>
    <n v="0"/>
    <n v="0"/>
    <n v="0"/>
    <n v="0"/>
    <n v="0"/>
    <m/>
    <n v="63.2"/>
    <n v="1"/>
  </r>
  <r>
    <s v="USR-100476"/>
    <d v="2025-05-17T00:00:00"/>
    <x v="0"/>
    <s v="West"/>
    <x v="1"/>
    <x v="3"/>
    <s v="Basic"/>
    <n v="1"/>
    <n v="0"/>
    <n v="0"/>
    <n v="0"/>
    <n v="0"/>
    <n v="0"/>
    <n v="0"/>
    <m/>
    <n v="68.7"/>
    <n v="1"/>
  </r>
  <r>
    <s v="USR-100477"/>
    <d v="2025-04-25T00:00:00"/>
    <x v="0"/>
    <s v="South"/>
    <x v="1"/>
    <x v="3"/>
    <s v="Free"/>
    <n v="0"/>
    <n v="0"/>
    <n v="0"/>
    <n v="0"/>
    <n v="0"/>
    <n v="0"/>
    <n v="0"/>
    <m/>
    <n v="52.1"/>
    <n v="1"/>
  </r>
  <r>
    <s v="USR-100478"/>
    <d v="2025-03-04T00:00:00"/>
    <x v="0"/>
    <s v="South"/>
    <x v="0"/>
    <x v="4"/>
    <s v="Basic"/>
    <n v="0"/>
    <n v="0"/>
    <n v="0"/>
    <n v="0"/>
    <n v="0"/>
    <n v="0"/>
    <n v="0"/>
    <m/>
    <n v="56.5"/>
    <n v="1"/>
  </r>
  <r>
    <s v="USR-100479"/>
    <d v="2025-03-18T00:00:00"/>
    <x v="0"/>
    <s v="South"/>
    <x v="1"/>
    <x v="1"/>
    <s v="Free"/>
    <n v="1"/>
    <n v="0"/>
    <n v="0"/>
    <n v="0"/>
    <n v="0"/>
    <n v="0"/>
    <n v="0"/>
    <m/>
    <n v="64.400000000000006"/>
    <n v="1"/>
  </r>
  <r>
    <s v="USR-100480"/>
    <d v="2025-01-30T00:00:00"/>
    <x v="0"/>
    <s v="West"/>
    <x v="1"/>
    <x v="2"/>
    <s v="Premium"/>
    <n v="1"/>
    <n v="0"/>
    <n v="0"/>
    <n v="0"/>
    <n v="0"/>
    <n v="0"/>
    <n v="0"/>
    <m/>
    <n v="65.900000000000006"/>
    <n v="1"/>
  </r>
  <r>
    <s v="USR-100481"/>
    <d v="2025-05-20T00:00:00"/>
    <x v="0"/>
    <s v="West"/>
    <x v="2"/>
    <x v="3"/>
    <s v="Free"/>
    <n v="1"/>
    <n v="1"/>
    <n v="1"/>
    <n v="0"/>
    <n v="0"/>
    <n v="0"/>
    <n v="0"/>
    <m/>
    <n v="100"/>
    <n v="1"/>
  </r>
  <r>
    <s v="USR-100482"/>
    <d v="2025-02-13T00:00:00"/>
    <x v="0"/>
    <s v="North"/>
    <x v="3"/>
    <x v="1"/>
    <s v="Basic"/>
    <n v="1"/>
    <n v="1"/>
    <n v="1"/>
    <n v="0"/>
    <n v="0"/>
    <n v="0"/>
    <n v="0"/>
    <m/>
    <n v="50.4"/>
    <n v="1"/>
  </r>
  <r>
    <s v="USR-100483"/>
    <d v="2025-04-12T00:00:00"/>
    <x v="0"/>
    <s v="West"/>
    <x v="0"/>
    <x v="1"/>
    <s v="Basic"/>
    <n v="0"/>
    <n v="0"/>
    <n v="0"/>
    <n v="0"/>
    <n v="0"/>
    <n v="0"/>
    <n v="0"/>
    <m/>
    <n v="41.5"/>
    <n v="1"/>
  </r>
  <r>
    <s v="USR-100484"/>
    <d v="2025-04-07T00:00:00"/>
    <x v="0"/>
    <s v="North"/>
    <x v="1"/>
    <x v="0"/>
    <s v="Free"/>
    <n v="0"/>
    <n v="0"/>
    <n v="0"/>
    <n v="0"/>
    <n v="0"/>
    <n v="0"/>
    <n v="0"/>
    <m/>
    <n v="86.2"/>
    <n v="1"/>
  </r>
  <r>
    <s v="USR-100485"/>
    <d v="2025-03-12T00:00:00"/>
    <x v="0"/>
    <s v="North"/>
    <x v="0"/>
    <x v="4"/>
    <s v="Free"/>
    <n v="1"/>
    <n v="1"/>
    <n v="1"/>
    <n v="0"/>
    <n v="0"/>
    <n v="2"/>
    <n v="0"/>
    <m/>
    <n v="50.8"/>
    <n v="1"/>
  </r>
  <r>
    <s v="USR-100486"/>
    <d v="2025-02-07T00:00:00"/>
    <x v="0"/>
    <s v="West"/>
    <x v="1"/>
    <x v="1"/>
    <s v="Free"/>
    <n v="1"/>
    <n v="0"/>
    <n v="0"/>
    <n v="0"/>
    <n v="0"/>
    <n v="0"/>
    <n v="0"/>
    <m/>
    <n v="50.9"/>
    <n v="1"/>
  </r>
  <r>
    <s v="USR-100487"/>
    <d v="2025-05-05T00:00:00"/>
    <x v="0"/>
    <s v="North"/>
    <x v="1"/>
    <x v="1"/>
    <s v="Premium"/>
    <n v="1"/>
    <n v="1"/>
    <n v="0"/>
    <n v="0"/>
    <n v="0"/>
    <n v="0"/>
    <n v="0"/>
    <m/>
    <n v="87.5"/>
    <n v="1"/>
  </r>
  <r>
    <s v="USR-100488"/>
    <d v="2025-03-18T00:00:00"/>
    <x v="0"/>
    <s v="South"/>
    <x v="1"/>
    <x v="3"/>
    <s v="Free"/>
    <n v="0"/>
    <n v="0"/>
    <n v="0"/>
    <n v="0"/>
    <n v="0"/>
    <n v="0"/>
    <n v="0"/>
    <m/>
    <n v="43.6"/>
    <n v="1"/>
  </r>
  <r>
    <s v="USR-100489"/>
    <d v="2025-01-05T00:00:00"/>
    <x v="0"/>
    <s v="South"/>
    <x v="1"/>
    <x v="2"/>
    <s v="Basic"/>
    <n v="1"/>
    <n v="0"/>
    <n v="0"/>
    <n v="0"/>
    <n v="0"/>
    <n v="0"/>
    <n v="0"/>
    <m/>
    <n v="55.5"/>
    <n v="1"/>
  </r>
  <r>
    <s v="USR-100490"/>
    <d v="2025-05-10T00:00:00"/>
    <x v="0"/>
    <s v="South"/>
    <x v="0"/>
    <x v="3"/>
    <s v="Basic"/>
    <n v="0"/>
    <n v="0"/>
    <n v="0"/>
    <n v="0"/>
    <n v="0"/>
    <n v="0"/>
    <n v="0"/>
    <m/>
    <n v="78.599999999999994"/>
    <n v="1"/>
  </r>
  <r>
    <s v="USR-100491"/>
    <d v="2025-01-03T00:00:00"/>
    <x v="0"/>
    <s v="South"/>
    <x v="1"/>
    <x v="4"/>
    <s v="Basic"/>
    <n v="1"/>
    <n v="1"/>
    <n v="0"/>
    <n v="0"/>
    <n v="0"/>
    <n v="1"/>
    <n v="0"/>
    <m/>
    <n v="44.3"/>
    <n v="1"/>
  </r>
  <r>
    <s v="USR-100492"/>
    <d v="2025-05-08T00:00:00"/>
    <x v="0"/>
    <s v="South"/>
    <x v="1"/>
    <x v="2"/>
    <s v="Free"/>
    <n v="1"/>
    <n v="1"/>
    <n v="0"/>
    <n v="0"/>
    <n v="0"/>
    <n v="0"/>
    <n v="0"/>
    <m/>
    <n v="45.2"/>
    <n v="1"/>
  </r>
  <r>
    <s v="USR-100493"/>
    <d v="2025-03-05T00:00:00"/>
    <x v="0"/>
    <s v="South"/>
    <x v="0"/>
    <x v="0"/>
    <s v="Basic"/>
    <n v="1"/>
    <n v="0"/>
    <n v="0"/>
    <n v="0"/>
    <n v="0"/>
    <n v="2"/>
    <n v="0"/>
    <m/>
    <n v="46.1"/>
    <n v="1"/>
  </r>
  <r>
    <s v="USR-100494"/>
    <d v="2025-02-17T00:00:00"/>
    <x v="0"/>
    <s v="North"/>
    <x v="1"/>
    <x v="1"/>
    <s v="Premium"/>
    <n v="1"/>
    <n v="0"/>
    <n v="0"/>
    <n v="0"/>
    <n v="0"/>
    <n v="0"/>
    <n v="0"/>
    <m/>
    <n v="49.6"/>
    <n v="1"/>
  </r>
  <r>
    <s v="USR-100495"/>
    <d v="2025-01-09T00:00:00"/>
    <x v="0"/>
    <s v="South"/>
    <x v="1"/>
    <x v="3"/>
    <s v="Basic"/>
    <n v="0"/>
    <n v="0"/>
    <n v="0"/>
    <n v="0"/>
    <n v="0"/>
    <n v="0"/>
    <n v="0"/>
    <m/>
    <n v="70.5"/>
    <n v="1"/>
  </r>
  <r>
    <s v="USR-100496"/>
    <d v="2025-05-05T00:00:00"/>
    <x v="0"/>
    <s v="South"/>
    <x v="1"/>
    <x v="0"/>
    <s v="Basic"/>
    <n v="0"/>
    <n v="0"/>
    <n v="0"/>
    <n v="0"/>
    <n v="0"/>
    <n v="1"/>
    <n v="0"/>
    <m/>
    <n v="60.8"/>
    <n v="1"/>
  </r>
  <r>
    <s v="USR-100497"/>
    <d v="2025-04-16T00:00:00"/>
    <x v="0"/>
    <s v="East"/>
    <x v="1"/>
    <x v="0"/>
    <s v="Basic"/>
    <n v="0"/>
    <n v="0"/>
    <n v="0"/>
    <n v="0"/>
    <n v="0"/>
    <n v="1"/>
    <n v="0"/>
    <m/>
    <n v="50.5"/>
    <n v="1"/>
  </r>
  <r>
    <s v="USR-100498"/>
    <d v="2025-03-02T00:00:00"/>
    <x v="0"/>
    <s v="South"/>
    <x v="0"/>
    <x v="1"/>
    <s v="Free"/>
    <n v="1"/>
    <n v="0"/>
    <n v="0"/>
    <n v="0"/>
    <n v="0"/>
    <n v="0"/>
    <n v="0"/>
    <m/>
    <n v="54.9"/>
    <n v="1"/>
  </r>
  <r>
    <s v="USR-100499"/>
    <d v="2025-04-14T00:00:00"/>
    <x v="0"/>
    <s v="South"/>
    <x v="1"/>
    <x v="4"/>
    <s v="Premium"/>
    <n v="0"/>
    <n v="0"/>
    <n v="0"/>
    <n v="0"/>
    <n v="0"/>
    <n v="0"/>
    <n v="0"/>
    <m/>
    <n v="29.9"/>
    <n v="1"/>
  </r>
  <r>
    <s v="USR-100500"/>
    <d v="2025-02-15T00:00:00"/>
    <x v="0"/>
    <s v="East"/>
    <x v="0"/>
    <x v="2"/>
    <s v="Basic"/>
    <n v="0"/>
    <n v="0"/>
    <n v="0"/>
    <n v="0"/>
    <n v="0"/>
    <n v="0"/>
    <n v="0"/>
    <m/>
    <n v="48.3"/>
    <n v="1"/>
  </r>
  <r>
    <s v="USR-100501"/>
    <d v="2025-02-13T00:00:00"/>
    <x v="0"/>
    <s v="West"/>
    <x v="1"/>
    <x v="4"/>
    <s v="Free"/>
    <n v="1"/>
    <n v="1"/>
    <n v="1"/>
    <n v="1"/>
    <n v="513.61"/>
    <n v="0"/>
    <n v="0"/>
    <n v="7"/>
    <n v="41.3"/>
    <n v="1"/>
  </r>
  <r>
    <s v="USR-100502"/>
    <d v="2025-03-06T00:00:00"/>
    <x v="0"/>
    <s v="North"/>
    <x v="1"/>
    <x v="0"/>
    <s v="Free"/>
    <n v="0"/>
    <n v="0"/>
    <n v="0"/>
    <n v="0"/>
    <n v="0"/>
    <n v="0"/>
    <n v="0"/>
    <m/>
    <n v="61.4"/>
    <n v="1"/>
  </r>
  <r>
    <s v="USR-100503"/>
    <d v="2025-02-18T00:00:00"/>
    <x v="0"/>
    <s v="South"/>
    <x v="0"/>
    <x v="4"/>
    <s v="Free"/>
    <n v="0"/>
    <n v="0"/>
    <n v="0"/>
    <n v="0"/>
    <n v="0"/>
    <n v="0"/>
    <n v="0"/>
    <m/>
    <n v="57.8"/>
    <n v="1"/>
  </r>
  <r>
    <s v="USR-100504"/>
    <d v="2025-04-07T00:00:00"/>
    <x v="0"/>
    <s v="North"/>
    <x v="0"/>
    <x v="1"/>
    <s v="Free"/>
    <n v="0"/>
    <n v="0"/>
    <n v="0"/>
    <n v="0"/>
    <n v="0"/>
    <n v="0"/>
    <n v="0"/>
    <m/>
    <n v="78.2"/>
    <n v="1"/>
  </r>
  <r>
    <s v="USR-100505"/>
    <d v="2025-04-06T00:00:00"/>
    <x v="0"/>
    <s v="North"/>
    <x v="1"/>
    <x v="3"/>
    <s v="Free"/>
    <n v="0"/>
    <n v="0"/>
    <n v="0"/>
    <n v="0"/>
    <n v="0"/>
    <n v="0"/>
    <n v="0"/>
    <m/>
    <n v="63.8"/>
    <n v="1"/>
  </r>
  <r>
    <s v="USR-100506"/>
    <d v="2025-01-30T00:00:00"/>
    <x v="0"/>
    <s v="North"/>
    <x v="0"/>
    <x v="4"/>
    <s v="Free"/>
    <n v="1"/>
    <n v="0"/>
    <n v="0"/>
    <n v="0"/>
    <n v="0"/>
    <n v="0"/>
    <n v="0"/>
    <m/>
    <n v="56.8"/>
    <n v="1"/>
  </r>
  <r>
    <s v="USR-100507"/>
    <d v="2025-05-13T00:00:00"/>
    <x v="0"/>
    <s v="South"/>
    <x v="0"/>
    <x v="1"/>
    <s v="Basic"/>
    <n v="1"/>
    <n v="1"/>
    <n v="0"/>
    <n v="0"/>
    <n v="0"/>
    <n v="0"/>
    <n v="0"/>
    <m/>
    <n v="59.6"/>
    <n v="1"/>
  </r>
  <r>
    <s v="USR-100508"/>
    <d v="2025-01-20T00:00:00"/>
    <x v="0"/>
    <s v="West"/>
    <x v="1"/>
    <x v="2"/>
    <s v="Premium"/>
    <n v="1"/>
    <n v="1"/>
    <n v="0"/>
    <n v="0"/>
    <n v="0"/>
    <n v="0"/>
    <n v="0"/>
    <m/>
    <n v="50"/>
    <n v="1"/>
  </r>
  <r>
    <s v="USR-100509"/>
    <d v="2025-01-30T00:00:00"/>
    <x v="0"/>
    <s v="North"/>
    <x v="2"/>
    <x v="1"/>
    <s v="Free"/>
    <n v="1"/>
    <n v="0"/>
    <n v="0"/>
    <n v="0"/>
    <n v="0"/>
    <n v="0"/>
    <n v="0"/>
    <m/>
    <n v="35.700000000000003"/>
    <n v="1"/>
  </r>
  <r>
    <s v="USR-100510"/>
    <d v="2025-01-13T00:00:00"/>
    <x v="0"/>
    <s v="South"/>
    <x v="1"/>
    <x v="1"/>
    <s v="Free"/>
    <n v="0"/>
    <n v="0"/>
    <n v="0"/>
    <n v="0"/>
    <n v="0"/>
    <n v="2"/>
    <n v="0"/>
    <m/>
    <n v="47.2"/>
    <n v="1"/>
  </r>
  <r>
    <s v="USR-100511"/>
    <d v="2025-02-11T00:00:00"/>
    <x v="0"/>
    <s v="North"/>
    <x v="1"/>
    <x v="4"/>
    <s v="Free"/>
    <n v="1"/>
    <n v="1"/>
    <n v="0"/>
    <n v="0"/>
    <n v="0"/>
    <n v="0"/>
    <n v="0"/>
    <m/>
    <n v="56.9"/>
    <n v="1"/>
  </r>
  <r>
    <s v="USR-100512"/>
    <d v="2025-04-15T00:00:00"/>
    <x v="0"/>
    <s v="South"/>
    <x v="1"/>
    <x v="1"/>
    <s v="Free"/>
    <n v="0"/>
    <n v="0"/>
    <n v="0"/>
    <n v="0"/>
    <n v="0"/>
    <n v="1"/>
    <n v="0"/>
    <m/>
    <n v="57.2"/>
    <n v="1"/>
  </r>
  <r>
    <s v="USR-100513"/>
    <d v="2025-02-13T00:00:00"/>
    <x v="0"/>
    <s v="South"/>
    <x v="1"/>
    <x v="5"/>
    <s v="Free"/>
    <n v="1"/>
    <n v="1"/>
    <n v="0"/>
    <n v="0"/>
    <n v="0"/>
    <n v="0"/>
    <n v="0"/>
    <m/>
    <n v="31.4"/>
    <n v="1"/>
  </r>
  <r>
    <s v="USR-100514"/>
    <d v="2025-05-09T00:00:00"/>
    <x v="0"/>
    <s v="South"/>
    <x v="0"/>
    <x v="1"/>
    <s v="Free"/>
    <n v="0"/>
    <n v="0"/>
    <n v="0"/>
    <n v="0"/>
    <n v="0"/>
    <n v="0"/>
    <n v="0"/>
    <m/>
    <n v="71.2"/>
    <n v="1"/>
  </r>
  <r>
    <s v="USR-100515"/>
    <d v="2025-03-10T00:00:00"/>
    <x v="0"/>
    <s v="North"/>
    <x v="1"/>
    <x v="2"/>
    <s v="Free"/>
    <n v="1"/>
    <n v="1"/>
    <n v="1"/>
    <n v="0"/>
    <n v="0"/>
    <n v="1"/>
    <n v="0"/>
    <m/>
    <n v="38.299999999999997"/>
    <n v="1"/>
  </r>
  <r>
    <s v="USR-100516"/>
    <d v="2025-04-01T00:00:00"/>
    <x v="0"/>
    <s v="North"/>
    <x v="1"/>
    <x v="1"/>
    <s v="Free"/>
    <n v="1"/>
    <n v="1"/>
    <n v="0"/>
    <n v="0"/>
    <n v="0"/>
    <n v="0"/>
    <n v="0"/>
    <m/>
    <n v="63.1"/>
    <n v="1"/>
  </r>
  <r>
    <s v="USR-100517"/>
    <d v="2025-05-15T00:00:00"/>
    <x v="0"/>
    <s v="East"/>
    <x v="1"/>
    <x v="3"/>
    <s v="Basic"/>
    <n v="1"/>
    <n v="0"/>
    <n v="0"/>
    <n v="0"/>
    <n v="0"/>
    <n v="0"/>
    <n v="0"/>
    <m/>
    <n v="59.7"/>
    <n v="1"/>
  </r>
  <r>
    <s v="USR-100518"/>
    <d v="2025-05-04T00:00:00"/>
    <x v="0"/>
    <s v="South"/>
    <x v="0"/>
    <x v="4"/>
    <s v="Premium"/>
    <n v="1"/>
    <n v="1"/>
    <n v="1"/>
    <n v="0"/>
    <n v="0"/>
    <n v="0"/>
    <n v="0"/>
    <m/>
    <n v="59.5"/>
    <n v="1"/>
  </r>
  <r>
    <s v="USR-100519"/>
    <d v="2025-05-20T00:00:00"/>
    <x v="0"/>
    <s v="East"/>
    <x v="1"/>
    <x v="2"/>
    <s v="Free"/>
    <n v="0"/>
    <n v="0"/>
    <n v="0"/>
    <n v="0"/>
    <n v="0"/>
    <n v="0"/>
    <n v="0"/>
    <m/>
    <n v="78.8"/>
    <n v="1"/>
  </r>
  <r>
    <s v="USR-100520"/>
    <d v="2025-05-16T00:00:00"/>
    <x v="0"/>
    <s v="West"/>
    <x v="0"/>
    <x v="3"/>
    <s v="Free"/>
    <n v="0"/>
    <n v="0"/>
    <n v="0"/>
    <n v="0"/>
    <n v="0"/>
    <n v="0"/>
    <n v="0"/>
    <m/>
    <n v="54"/>
    <n v="1"/>
  </r>
  <r>
    <s v="USR-100521"/>
    <d v="2025-03-17T00:00:00"/>
    <x v="0"/>
    <s v="West"/>
    <x v="1"/>
    <x v="1"/>
    <s v="Free"/>
    <n v="1"/>
    <n v="0"/>
    <n v="0"/>
    <n v="0"/>
    <n v="0"/>
    <n v="0"/>
    <n v="0"/>
    <m/>
    <n v="66.3"/>
    <n v="1"/>
  </r>
  <r>
    <s v="USR-100522"/>
    <d v="2025-01-27T00:00:00"/>
    <x v="0"/>
    <s v="East"/>
    <x v="2"/>
    <x v="2"/>
    <s v="Free"/>
    <n v="1"/>
    <n v="1"/>
    <n v="0"/>
    <n v="0"/>
    <n v="0"/>
    <n v="0"/>
    <n v="0"/>
    <m/>
    <n v="54.7"/>
    <n v="1"/>
  </r>
  <r>
    <s v="USR-100523"/>
    <d v="2025-04-13T00:00:00"/>
    <x v="0"/>
    <s v="South"/>
    <x v="1"/>
    <x v="1"/>
    <s v="Basic"/>
    <n v="1"/>
    <n v="0"/>
    <n v="0"/>
    <n v="0"/>
    <n v="0"/>
    <n v="0"/>
    <n v="0"/>
    <m/>
    <n v="76.7"/>
    <n v="1"/>
  </r>
  <r>
    <s v="USR-100524"/>
    <d v="2025-05-03T00:00:00"/>
    <x v="0"/>
    <s v="South"/>
    <x v="0"/>
    <x v="0"/>
    <s v="Basic"/>
    <n v="1"/>
    <n v="0"/>
    <n v="0"/>
    <n v="0"/>
    <n v="0"/>
    <n v="2"/>
    <n v="0"/>
    <m/>
    <n v="47.4"/>
    <n v="1"/>
  </r>
  <r>
    <s v="USR-100525"/>
    <d v="2025-03-30T00:00:00"/>
    <x v="0"/>
    <s v="North"/>
    <x v="1"/>
    <x v="1"/>
    <s v="Free"/>
    <n v="1"/>
    <n v="1"/>
    <n v="1"/>
    <n v="0"/>
    <n v="0"/>
    <n v="0"/>
    <n v="0"/>
    <m/>
    <n v="81.7"/>
    <n v="1"/>
  </r>
  <r>
    <s v="USR-100526"/>
    <d v="2025-01-01T00:00:00"/>
    <x v="0"/>
    <s v="West"/>
    <x v="1"/>
    <x v="2"/>
    <s v="Basic"/>
    <n v="1"/>
    <n v="1"/>
    <n v="1"/>
    <n v="0"/>
    <n v="0"/>
    <n v="0"/>
    <n v="0"/>
    <m/>
    <n v="67.5"/>
    <n v="1"/>
  </r>
  <r>
    <s v="USR-100527"/>
    <d v="2025-02-06T00:00:00"/>
    <x v="0"/>
    <s v="West"/>
    <x v="1"/>
    <x v="2"/>
    <s v="Basic"/>
    <n v="1"/>
    <n v="0"/>
    <n v="0"/>
    <n v="0"/>
    <n v="0"/>
    <n v="0"/>
    <n v="0"/>
    <m/>
    <n v="36.799999999999997"/>
    <n v="1"/>
  </r>
  <r>
    <s v="USR-100528"/>
    <d v="2025-02-25T00:00:00"/>
    <x v="0"/>
    <s v="North"/>
    <x v="0"/>
    <x v="1"/>
    <s v="Free"/>
    <n v="0"/>
    <n v="0"/>
    <n v="0"/>
    <n v="0"/>
    <n v="0"/>
    <n v="0"/>
    <n v="0"/>
    <m/>
    <n v="66.5"/>
    <n v="1"/>
  </r>
  <r>
    <s v="USR-100529"/>
    <d v="2025-05-14T00:00:00"/>
    <x v="0"/>
    <s v="East"/>
    <x v="2"/>
    <x v="4"/>
    <s v="Free"/>
    <n v="1"/>
    <n v="0"/>
    <n v="0"/>
    <n v="0"/>
    <n v="0"/>
    <n v="0"/>
    <n v="0"/>
    <m/>
    <n v="35.4"/>
    <n v="1"/>
  </r>
  <r>
    <s v="USR-100530"/>
    <d v="2025-05-20T00:00:00"/>
    <x v="0"/>
    <s v="South"/>
    <x v="1"/>
    <x v="1"/>
    <s v="Basic"/>
    <n v="0"/>
    <n v="0"/>
    <n v="0"/>
    <n v="0"/>
    <n v="0"/>
    <n v="0"/>
    <n v="0"/>
    <m/>
    <n v="64.3"/>
    <n v="1"/>
  </r>
  <r>
    <s v="USR-100531"/>
    <d v="2025-02-11T00:00:00"/>
    <x v="0"/>
    <s v="South"/>
    <x v="1"/>
    <x v="1"/>
    <s v="Free"/>
    <n v="0"/>
    <n v="0"/>
    <n v="0"/>
    <n v="0"/>
    <n v="0"/>
    <n v="0"/>
    <n v="0"/>
    <m/>
    <n v="49.1"/>
    <n v="1"/>
  </r>
  <r>
    <s v="USR-100532"/>
    <d v="2025-02-13T00:00:00"/>
    <x v="0"/>
    <s v="West"/>
    <x v="1"/>
    <x v="1"/>
    <s v="Free"/>
    <n v="1"/>
    <n v="0"/>
    <n v="0"/>
    <n v="0"/>
    <n v="0"/>
    <n v="0"/>
    <n v="0"/>
    <m/>
    <n v="84.3"/>
    <n v="1"/>
  </r>
  <r>
    <s v="USR-100533"/>
    <d v="2025-04-07T00:00:00"/>
    <x v="0"/>
    <s v="South"/>
    <x v="1"/>
    <x v="2"/>
    <s v="Premium"/>
    <n v="1"/>
    <n v="0"/>
    <n v="0"/>
    <n v="0"/>
    <n v="0"/>
    <n v="0"/>
    <n v="0"/>
    <m/>
    <n v="65.599999999999994"/>
    <n v="1"/>
  </r>
  <r>
    <s v="USR-100534"/>
    <d v="2025-03-08T00:00:00"/>
    <x v="0"/>
    <s v="East"/>
    <x v="1"/>
    <x v="0"/>
    <s v="Free"/>
    <n v="1"/>
    <n v="0"/>
    <n v="0"/>
    <n v="0"/>
    <n v="0"/>
    <n v="0"/>
    <n v="0"/>
    <m/>
    <n v="47.1"/>
    <n v="1"/>
  </r>
  <r>
    <s v="USR-100535"/>
    <d v="2025-02-16T00:00:00"/>
    <x v="0"/>
    <s v="North"/>
    <x v="0"/>
    <x v="2"/>
    <s v="Free"/>
    <n v="1"/>
    <n v="1"/>
    <n v="1"/>
    <n v="0"/>
    <n v="0"/>
    <n v="0"/>
    <n v="0"/>
    <m/>
    <n v="70"/>
    <n v="1"/>
  </r>
  <r>
    <s v="USR-100536"/>
    <d v="2025-04-28T00:00:00"/>
    <x v="0"/>
    <s v="South"/>
    <x v="1"/>
    <x v="2"/>
    <s v="Premium"/>
    <n v="1"/>
    <n v="0"/>
    <n v="0"/>
    <n v="0"/>
    <n v="0"/>
    <n v="0"/>
    <n v="0"/>
    <m/>
    <n v="54.6"/>
    <n v="1"/>
  </r>
  <r>
    <s v="USR-100537"/>
    <d v="2025-03-10T00:00:00"/>
    <x v="0"/>
    <s v="West"/>
    <x v="2"/>
    <x v="4"/>
    <s v="Basic"/>
    <n v="1"/>
    <n v="1"/>
    <n v="0"/>
    <n v="0"/>
    <n v="0"/>
    <n v="1"/>
    <n v="0"/>
    <m/>
    <n v="65.2"/>
    <n v="1"/>
  </r>
  <r>
    <s v="USR-100538"/>
    <d v="2025-01-25T00:00:00"/>
    <x v="0"/>
    <s v="East"/>
    <x v="1"/>
    <x v="4"/>
    <s v="Free"/>
    <n v="1"/>
    <n v="0"/>
    <n v="0"/>
    <n v="0"/>
    <n v="0"/>
    <n v="0"/>
    <n v="0"/>
    <m/>
    <n v="65"/>
    <n v="1"/>
  </r>
  <r>
    <s v="USR-100539"/>
    <d v="2025-01-11T00:00:00"/>
    <x v="0"/>
    <s v="West"/>
    <x v="1"/>
    <x v="2"/>
    <s v="Premium"/>
    <n v="1"/>
    <n v="1"/>
    <n v="1"/>
    <n v="0"/>
    <n v="0"/>
    <n v="1"/>
    <n v="0"/>
    <m/>
    <n v="42.1"/>
    <n v="1"/>
  </r>
  <r>
    <s v="USR-100540"/>
    <d v="2025-03-31T00:00:00"/>
    <x v="0"/>
    <s v="West"/>
    <x v="2"/>
    <x v="2"/>
    <s v="Free"/>
    <n v="1"/>
    <n v="0"/>
    <n v="0"/>
    <n v="0"/>
    <n v="0"/>
    <n v="0"/>
    <n v="0"/>
    <m/>
    <n v="43.4"/>
    <n v="1"/>
  </r>
  <r>
    <s v="USR-100541"/>
    <d v="2025-05-22T00:00:00"/>
    <x v="0"/>
    <s v="North"/>
    <x v="1"/>
    <x v="2"/>
    <s v="Basic"/>
    <n v="1"/>
    <n v="1"/>
    <n v="0"/>
    <n v="0"/>
    <n v="0"/>
    <n v="0"/>
    <n v="0"/>
    <m/>
    <n v="39.9"/>
    <n v="1"/>
  </r>
  <r>
    <s v="USR-100542"/>
    <d v="2025-05-16T00:00:00"/>
    <x v="0"/>
    <s v="North"/>
    <x v="1"/>
    <x v="3"/>
    <s v="Basic"/>
    <n v="0"/>
    <n v="0"/>
    <n v="0"/>
    <n v="0"/>
    <n v="0"/>
    <n v="0"/>
    <n v="0"/>
    <m/>
    <n v="74.099999999999994"/>
    <n v="1"/>
  </r>
  <r>
    <s v="USR-100543"/>
    <d v="2025-04-25T00:00:00"/>
    <x v="0"/>
    <s v="East"/>
    <x v="0"/>
    <x v="2"/>
    <s v="Free"/>
    <n v="1"/>
    <n v="0"/>
    <n v="0"/>
    <n v="0"/>
    <n v="0"/>
    <n v="0"/>
    <n v="0"/>
    <m/>
    <n v="61.4"/>
    <n v="1"/>
  </r>
  <r>
    <s v="USR-100544"/>
    <d v="2025-04-17T00:00:00"/>
    <x v="0"/>
    <s v="East"/>
    <x v="1"/>
    <x v="4"/>
    <s v="Premium"/>
    <n v="1"/>
    <n v="1"/>
    <n v="1"/>
    <n v="0"/>
    <n v="0"/>
    <n v="0"/>
    <n v="0"/>
    <m/>
    <n v="76.8"/>
    <n v="1"/>
  </r>
  <r>
    <s v="USR-100545"/>
    <d v="2025-01-01T00:00:00"/>
    <x v="0"/>
    <s v="South"/>
    <x v="0"/>
    <x v="4"/>
    <s v="Basic"/>
    <n v="0"/>
    <n v="0"/>
    <n v="0"/>
    <n v="0"/>
    <n v="0"/>
    <n v="0"/>
    <n v="0"/>
    <m/>
    <m/>
    <n v="1"/>
  </r>
  <r>
    <s v="USR-100546"/>
    <d v="2025-03-18T00:00:00"/>
    <x v="0"/>
    <s v="East"/>
    <x v="1"/>
    <x v="2"/>
    <s v="Basic"/>
    <n v="1"/>
    <n v="1"/>
    <n v="1"/>
    <n v="0"/>
    <n v="0"/>
    <n v="0"/>
    <n v="0"/>
    <m/>
    <n v="45.3"/>
    <n v="1"/>
  </r>
  <r>
    <s v="USR-100547"/>
    <d v="2025-05-20T00:00:00"/>
    <x v="0"/>
    <s v="North"/>
    <x v="2"/>
    <x v="2"/>
    <s v="Free"/>
    <n v="1"/>
    <n v="0"/>
    <n v="0"/>
    <n v="0"/>
    <n v="0"/>
    <n v="0"/>
    <n v="0"/>
    <m/>
    <n v="41.4"/>
    <n v="1"/>
  </r>
  <r>
    <s v="USR-100548"/>
    <d v="2025-03-16T00:00:00"/>
    <x v="0"/>
    <s v="North"/>
    <x v="1"/>
    <x v="1"/>
    <s v="Basic"/>
    <n v="1"/>
    <n v="0"/>
    <n v="0"/>
    <n v="0"/>
    <n v="0"/>
    <n v="0"/>
    <n v="0"/>
    <m/>
    <n v="37.1"/>
    <n v="1"/>
  </r>
  <r>
    <s v="USR-100549"/>
    <d v="2025-05-30T00:00:00"/>
    <x v="0"/>
    <s v="East"/>
    <x v="0"/>
    <x v="4"/>
    <s v="Free"/>
    <n v="1"/>
    <n v="0"/>
    <n v="0"/>
    <n v="0"/>
    <n v="0"/>
    <n v="0"/>
    <n v="0"/>
    <m/>
    <n v="40.700000000000003"/>
    <n v="1"/>
  </r>
  <r>
    <s v="USR-100550"/>
    <d v="2025-02-20T00:00:00"/>
    <x v="0"/>
    <s v="North"/>
    <x v="1"/>
    <x v="4"/>
    <s v="Premium"/>
    <n v="0"/>
    <n v="0"/>
    <n v="0"/>
    <n v="0"/>
    <n v="0"/>
    <n v="2"/>
    <n v="0"/>
    <m/>
    <n v="55.9"/>
    <n v="1"/>
  </r>
  <r>
    <s v="USR-100551"/>
    <d v="2025-02-11T00:00:00"/>
    <x v="0"/>
    <s v="East"/>
    <x v="3"/>
    <x v="4"/>
    <s v="Free"/>
    <n v="1"/>
    <n v="1"/>
    <n v="0"/>
    <n v="0"/>
    <n v="0"/>
    <n v="0"/>
    <n v="0"/>
    <m/>
    <n v="55.8"/>
    <n v="1"/>
  </r>
  <r>
    <s v="USR-100552"/>
    <d v="2025-01-02T00:00:00"/>
    <x v="0"/>
    <s v="South"/>
    <x v="2"/>
    <x v="3"/>
    <s v="Basic"/>
    <n v="1"/>
    <n v="0"/>
    <n v="0"/>
    <n v="0"/>
    <n v="0"/>
    <n v="0"/>
    <n v="0"/>
    <m/>
    <n v="64.3"/>
    <n v="1"/>
  </r>
  <r>
    <s v="USR-100553"/>
    <d v="2025-05-03T00:00:00"/>
    <x v="0"/>
    <s v="North"/>
    <x v="1"/>
    <x v="1"/>
    <s v="Free"/>
    <n v="0"/>
    <n v="0"/>
    <n v="0"/>
    <n v="0"/>
    <n v="0"/>
    <n v="0"/>
    <n v="0"/>
    <m/>
    <n v="65.400000000000006"/>
    <n v="1"/>
  </r>
  <r>
    <s v="USR-100554"/>
    <d v="2025-02-24T00:00:00"/>
    <x v="0"/>
    <s v="West"/>
    <x v="1"/>
    <x v="1"/>
    <s v="Free"/>
    <n v="1"/>
    <n v="0"/>
    <n v="0"/>
    <n v="0"/>
    <n v="0"/>
    <n v="0"/>
    <n v="0"/>
    <m/>
    <n v="89.8"/>
    <n v="1"/>
  </r>
  <r>
    <s v="USR-100555"/>
    <d v="2025-02-11T00:00:00"/>
    <x v="0"/>
    <s v="South"/>
    <x v="3"/>
    <x v="1"/>
    <s v="Free"/>
    <n v="1"/>
    <n v="1"/>
    <n v="1"/>
    <n v="0"/>
    <n v="0"/>
    <n v="0"/>
    <n v="0"/>
    <m/>
    <n v="58.3"/>
    <n v="1"/>
  </r>
  <r>
    <s v="USR-100556"/>
    <d v="2025-05-06T00:00:00"/>
    <x v="0"/>
    <s v="South"/>
    <x v="1"/>
    <x v="4"/>
    <s v="Basic"/>
    <n v="1"/>
    <n v="0"/>
    <n v="0"/>
    <n v="0"/>
    <n v="0"/>
    <n v="0"/>
    <n v="0"/>
    <m/>
    <n v="64.400000000000006"/>
    <n v="1"/>
  </r>
  <r>
    <s v="USR-100557"/>
    <d v="2025-05-23T00:00:00"/>
    <x v="0"/>
    <s v="North"/>
    <x v="1"/>
    <x v="2"/>
    <s v="Premium"/>
    <n v="0"/>
    <n v="0"/>
    <n v="0"/>
    <n v="0"/>
    <n v="0"/>
    <n v="0"/>
    <n v="0"/>
    <m/>
    <n v="46.2"/>
    <n v="1"/>
  </r>
  <r>
    <s v="USR-100558"/>
    <d v="2025-01-09T00:00:00"/>
    <x v="0"/>
    <s v="North"/>
    <x v="0"/>
    <x v="2"/>
    <s v="Free"/>
    <n v="0"/>
    <n v="0"/>
    <n v="0"/>
    <n v="0"/>
    <n v="0"/>
    <n v="0"/>
    <n v="0"/>
    <m/>
    <n v="78"/>
    <n v="1"/>
  </r>
  <r>
    <s v="USR-100559"/>
    <d v="2025-04-01T00:00:00"/>
    <x v="0"/>
    <s v="North"/>
    <x v="0"/>
    <x v="1"/>
    <s v="Premium"/>
    <n v="1"/>
    <n v="0"/>
    <n v="0"/>
    <n v="0"/>
    <n v="0"/>
    <n v="0"/>
    <n v="0"/>
    <m/>
    <n v="62.3"/>
    <n v="1"/>
  </r>
  <r>
    <s v="USR-100560"/>
    <d v="2025-03-08T00:00:00"/>
    <x v="0"/>
    <s v="North"/>
    <x v="1"/>
    <x v="1"/>
    <s v="Free"/>
    <n v="1"/>
    <n v="0"/>
    <n v="0"/>
    <n v="0"/>
    <n v="0"/>
    <n v="0"/>
    <n v="0"/>
    <m/>
    <n v="78.8"/>
    <n v="1"/>
  </r>
  <r>
    <s v="USR-100561"/>
    <d v="2025-02-20T00:00:00"/>
    <x v="0"/>
    <s v="North"/>
    <x v="1"/>
    <x v="4"/>
    <s v="Basic"/>
    <n v="1"/>
    <n v="0"/>
    <n v="0"/>
    <n v="0"/>
    <n v="0"/>
    <n v="0"/>
    <n v="0"/>
    <m/>
    <n v="25"/>
    <n v="1"/>
  </r>
  <r>
    <s v="USR-100562"/>
    <d v="2025-03-30T00:00:00"/>
    <x v="0"/>
    <s v="East"/>
    <x v="1"/>
    <x v="4"/>
    <s v="Basic"/>
    <n v="0"/>
    <n v="0"/>
    <n v="0"/>
    <n v="0"/>
    <n v="0"/>
    <n v="0"/>
    <n v="0"/>
    <m/>
    <n v="53.4"/>
    <n v="1"/>
  </r>
  <r>
    <s v="USR-100563"/>
    <d v="2025-04-10T00:00:00"/>
    <x v="0"/>
    <s v="East"/>
    <x v="0"/>
    <x v="1"/>
    <s v="Basic"/>
    <n v="0"/>
    <n v="0"/>
    <n v="0"/>
    <n v="0"/>
    <n v="0"/>
    <n v="0"/>
    <n v="0"/>
    <m/>
    <n v="40.700000000000003"/>
    <n v="1"/>
  </r>
  <r>
    <s v="USR-100564"/>
    <d v="2025-03-24T00:00:00"/>
    <x v="0"/>
    <s v="East"/>
    <x v="1"/>
    <x v="1"/>
    <s v="Premium"/>
    <n v="1"/>
    <n v="1"/>
    <n v="0"/>
    <n v="0"/>
    <n v="0"/>
    <n v="0"/>
    <n v="0"/>
    <m/>
    <n v="36.700000000000003"/>
    <n v="1"/>
  </r>
  <r>
    <s v="USR-100565"/>
    <d v="2025-05-21T00:00:00"/>
    <x v="0"/>
    <s v="West"/>
    <x v="1"/>
    <x v="1"/>
    <s v="Basic"/>
    <n v="1"/>
    <n v="0"/>
    <n v="0"/>
    <n v="0"/>
    <n v="0"/>
    <n v="1"/>
    <n v="0"/>
    <m/>
    <n v="67.5"/>
    <n v="1"/>
  </r>
  <r>
    <s v="USR-100566"/>
    <d v="2025-03-29T00:00:00"/>
    <x v="0"/>
    <s v="East"/>
    <x v="1"/>
    <x v="4"/>
    <s v="Premium"/>
    <n v="1"/>
    <n v="1"/>
    <n v="1"/>
    <n v="0"/>
    <n v="0"/>
    <n v="0"/>
    <n v="0"/>
    <m/>
    <n v="69.900000000000006"/>
    <n v="1"/>
  </r>
  <r>
    <s v="USR-100567"/>
    <d v="2025-02-23T00:00:00"/>
    <x v="0"/>
    <s v="North"/>
    <x v="2"/>
    <x v="3"/>
    <s v="Basic"/>
    <n v="1"/>
    <n v="0"/>
    <n v="0"/>
    <n v="0"/>
    <n v="0"/>
    <n v="0"/>
    <n v="0"/>
    <m/>
    <n v="65.099999999999994"/>
    <n v="1"/>
  </r>
  <r>
    <s v="USR-100568"/>
    <d v="2025-02-16T00:00:00"/>
    <x v="0"/>
    <s v="West"/>
    <x v="1"/>
    <x v="2"/>
    <s v="Premium"/>
    <n v="1"/>
    <n v="0"/>
    <n v="0"/>
    <n v="0"/>
    <n v="0"/>
    <n v="0"/>
    <n v="0"/>
    <m/>
    <n v="48.7"/>
    <n v="1"/>
  </r>
  <r>
    <s v="USR-100569"/>
    <d v="2025-02-21T00:00:00"/>
    <x v="0"/>
    <s v="West"/>
    <x v="0"/>
    <x v="1"/>
    <s v="Basic"/>
    <n v="1"/>
    <n v="1"/>
    <n v="0"/>
    <n v="0"/>
    <n v="0"/>
    <n v="0"/>
    <n v="0"/>
    <m/>
    <n v="47.2"/>
    <n v="1"/>
  </r>
  <r>
    <s v="USR-100570"/>
    <d v="2025-01-07T00:00:00"/>
    <x v="0"/>
    <s v="North"/>
    <x v="1"/>
    <x v="3"/>
    <s v="Free"/>
    <n v="1"/>
    <n v="0"/>
    <n v="0"/>
    <n v="0"/>
    <n v="0"/>
    <n v="2"/>
    <n v="0"/>
    <m/>
    <n v="20.3"/>
    <n v="1"/>
  </r>
  <r>
    <s v="USR-100571"/>
    <d v="2025-03-06T00:00:00"/>
    <x v="0"/>
    <s v="West"/>
    <x v="1"/>
    <x v="2"/>
    <s v="Free"/>
    <n v="0"/>
    <n v="0"/>
    <n v="0"/>
    <n v="0"/>
    <n v="0"/>
    <n v="1"/>
    <n v="0"/>
    <m/>
    <n v="57.8"/>
    <n v="1"/>
  </r>
  <r>
    <s v="USR-100572"/>
    <d v="2025-03-30T00:00:00"/>
    <x v="0"/>
    <s v="East"/>
    <x v="1"/>
    <x v="0"/>
    <s v="Basic"/>
    <n v="1"/>
    <n v="0"/>
    <n v="0"/>
    <n v="0"/>
    <n v="0"/>
    <n v="0"/>
    <n v="0"/>
    <m/>
    <n v="78.7"/>
    <n v="1"/>
  </r>
  <r>
    <s v="USR-100573"/>
    <d v="2025-05-31T00:00:00"/>
    <x v="0"/>
    <s v="South"/>
    <x v="0"/>
    <x v="1"/>
    <s v="Free"/>
    <n v="1"/>
    <n v="0"/>
    <n v="0"/>
    <n v="0"/>
    <n v="0"/>
    <n v="0"/>
    <n v="0"/>
    <m/>
    <n v="63.6"/>
    <n v="1"/>
  </r>
  <r>
    <s v="USR-100574"/>
    <d v="2025-02-20T00:00:00"/>
    <x v="0"/>
    <s v="South"/>
    <x v="1"/>
    <x v="0"/>
    <s v="Free"/>
    <n v="0"/>
    <n v="0"/>
    <n v="0"/>
    <n v="0"/>
    <n v="0"/>
    <n v="2"/>
    <n v="0"/>
    <m/>
    <n v="45.1"/>
    <n v="1"/>
  </r>
  <r>
    <s v="USR-100575"/>
    <d v="2025-01-13T00:00:00"/>
    <x v="0"/>
    <s v="West"/>
    <x v="1"/>
    <x v="4"/>
    <s v="Free"/>
    <n v="0"/>
    <n v="0"/>
    <n v="0"/>
    <n v="0"/>
    <n v="0"/>
    <n v="0"/>
    <n v="0"/>
    <m/>
    <n v="77.5"/>
    <n v="1"/>
  </r>
  <r>
    <s v="USR-100576"/>
    <d v="2025-05-13T00:00:00"/>
    <x v="0"/>
    <s v="East"/>
    <x v="0"/>
    <x v="2"/>
    <s v="Basic"/>
    <n v="1"/>
    <n v="1"/>
    <n v="0"/>
    <n v="0"/>
    <n v="0"/>
    <n v="0"/>
    <n v="0"/>
    <m/>
    <n v="58"/>
    <n v="1"/>
  </r>
  <r>
    <s v="USR-100577"/>
    <d v="2025-04-21T00:00:00"/>
    <x v="0"/>
    <s v="South"/>
    <x v="2"/>
    <x v="1"/>
    <s v="Free"/>
    <n v="1"/>
    <n v="0"/>
    <n v="0"/>
    <n v="0"/>
    <n v="0"/>
    <n v="0"/>
    <n v="0"/>
    <m/>
    <n v="68.099999999999994"/>
    <n v="1"/>
  </r>
  <r>
    <s v="USR-100578"/>
    <d v="2025-03-01T00:00:00"/>
    <x v="0"/>
    <s v="East"/>
    <x v="2"/>
    <x v="1"/>
    <s v="Premium"/>
    <n v="1"/>
    <n v="0"/>
    <n v="0"/>
    <n v="0"/>
    <n v="0"/>
    <n v="0"/>
    <n v="0"/>
    <m/>
    <n v="35.4"/>
    <n v="1"/>
  </r>
  <r>
    <s v="USR-100579"/>
    <d v="2025-03-10T00:00:00"/>
    <x v="0"/>
    <s v="West"/>
    <x v="2"/>
    <x v="1"/>
    <s v="Free"/>
    <n v="0"/>
    <n v="0"/>
    <n v="0"/>
    <n v="0"/>
    <n v="0"/>
    <n v="0"/>
    <n v="0"/>
    <m/>
    <n v="47"/>
    <n v="1"/>
  </r>
  <r>
    <s v="USR-100580"/>
    <d v="2025-03-08T00:00:00"/>
    <x v="0"/>
    <s v="East"/>
    <x v="0"/>
    <x v="2"/>
    <s v="Free"/>
    <n v="0"/>
    <n v="0"/>
    <n v="0"/>
    <n v="0"/>
    <n v="0"/>
    <n v="0"/>
    <n v="0"/>
    <m/>
    <n v="75"/>
    <n v="1"/>
  </r>
  <r>
    <s v="USR-100581"/>
    <d v="2025-05-26T00:00:00"/>
    <x v="0"/>
    <s v="South"/>
    <x v="0"/>
    <x v="2"/>
    <s v="Free"/>
    <n v="1"/>
    <n v="1"/>
    <n v="1"/>
    <n v="0"/>
    <n v="0"/>
    <n v="3"/>
    <n v="0"/>
    <m/>
    <n v="50.2"/>
    <n v="1"/>
  </r>
  <r>
    <s v="USR-100582"/>
    <d v="2025-05-20T00:00:00"/>
    <x v="0"/>
    <s v="East"/>
    <x v="0"/>
    <x v="2"/>
    <s v="Free"/>
    <n v="1"/>
    <n v="0"/>
    <n v="0"/>
    <n v="0"/>
    <n v="0"/>
    <n v="0"/>
    <n v="0"/>
    <m/>
    <n v="40.1"/>
    <n v="1"/>
  </r>
  <r>
    <s v="USR-100583"/>
    <d v="2025-03-22T00:00:00"/>
    <x v="0"/>
    <s v="West"/>
    <x v="0"/>
    <x v="2"/>
    <s v="Free"/>
    <n v="0"/>
    <n v="0"/>
    <n v="0"/>
    <n v="0"/>
    <n v="0"/>
    <n v="0"/>
    <n v="0"/>
    <m/>
    <n v="61.1"/>
    <n v="1"/>
  </r>
  <r>
    <s v="USR-100584"/>
    <d v="2025-02-15T00:00:00"/>
    <x v="0"/>
    <s v="South"/>
    <x v="0"/>
    <x v="2"/>
    <s v="Free"/>
    <n v="0"/>
    <n v="0"/>
    <n v="0"/>
    <n v="0"/>
    <n v="0"/>
    <n v="0"/>
    <n v="0"/>
    <m/>
    <n v="42.4"/>
    <n v="1"/>
  </r>
  <r>
    <s v="USR-100585"/>
    <d v="2025-01-08T00:00:00"/>
    <x v="0"/>
    <s v="North"/>
    <x v="1"/>
    <x v="4"/>
    <s v="Free"/>
    <n v="0"/>
    <n v="0"/>
    <n v="0"/>
    <n v="0"/>
    <n v="0"/>
    <n v="1"/>
    <n v="0"/>
    <m/>
    <n v="46.6"/>
    <n v="1"/>
  </r>
  <r>
    <s v="USR-100586"/>
    <d v="2025-01-29T00:00:00"/>
    <x v="0"/>
    <s v="South"/>
    <x v="1"/>
    <x v="1"/>
    <s v="Premium"/>
    <n v="1"/>
    <n v="1"/>
    <n v="0"/>
    <n v="0"/>
    <n v="0"/>
    <n v="0"/>
    <n v="0"/>
    <m/>
    <n v="72.099999999999994"/>
    <n v="1"/>
  </r>
  <r>
    <s v="USR-100587"/>
    <d v="2025-05-07T00:00:00"/>
    <x v="0"/>
    <s v="East"/>
    <x v="2"/>
    <x v="1"/>
    <s v="Free"/>
    <n v="0"/>
    <n v="0"/>
    <n v="0"/>
    <n v="0"/>
    <n v="0"/>
    <n v="0"/>
    <n v="0"/>
    <m/>
    <n v="21.5"/>
    <n v="1"/>
  </r>
  <r>
    <s v="USR-100588"/>
    <d v="2025-03-01T00:00:00"/>
    <x v="0"/>
    <s v="North"/>
    <x v="1"/>
    <x v="4"/>
    <s v="Basic"/>
    <n v="1"/>
    <n v="0"/>
    <n v="0"/>
    <n v="0"/>
    <n v="0"/>
    <n v="1"/>
    <n v="0"/>
    <m/>
    <n v="65.400000000000006"/>
    <n v="1"/>
  </r>
  <r>
    <s v="USR-100589"/>
    <d v="2025-04-20T00:00:00"/>
    <x v="0"/>
    <s v="East"/>
    <x v="1"/>
    <x v="1"/>
    <s v="Free"/>
    <n v="1"/>
    <n v="1"/>
    <n v="0"/>
    <n v="0"/>
    <n v="0"/>
    <n v="0"/>
    <n v="0"/>
    <m/>
    <n v="53.3"/>
    <n v="1"/>
  </r>
  <r>
    <s v="USR-100590"/>
    <d v="2025-01-16T00:00:00"/>
    <x v="0"/>
    <s v="East"/>
    <x v="1"/>
    <x v="1"/>
    <s v="Premium"/>
    <n v="0"/>
    <n v="0"/>
    <n v="0"/>
    <n v="0"/>
    <n v="0"/>
    <n v="2"/>
    <n v="0"/>
    <m/>
    <n v="52.3"/>
    <n v="1"/>
  </r>
  <r>
    <s v="USR-100591"/>
    <d v="2025-04-04T00:00:00"/>
    <x v="0"/>
    <s v="East"/>
    <x v="1"/>
    <x v="2"/>
    <s v="Free"/>
    <n v="1"/>
    <n v="0"/>
    <n v="0"/>
    <n v="0"/>
    <n v="0"/>
    <n v="0"/>
    <n v="0"/>
    <m/>
    <n v="62.5"/>
    <n v="1"/>
  </r>
  <r>
    <s v="USR-100592"/>
    <d v="2025-01-29T00:00:00"/>
    <x v="0"/>
    <s v="North"/>
    <x v="2"/>
    <x v="4"/>
    <s v="Free"/>
    <n v="1"/>
    <n v="0"/>
    <n v="0"/>
    <n v="0"/>
    <n v="0"/>
    <n v="0"/>
    <n v="0"/>
    <m/>
    <n v="69.8"/>
    <n v="1"/>
  </r>
  <r>
    <s v="USR-100593"/>
    <d v="2025-04-19T00:00:00"/>
    <x v="0"/>
    <s v="East"/>
    <x v="1"/>
    <x v="0"/>
    <s v="Free"/>
    <n v="1"/>
    <n v="0"/>
    <n v="0"/>
    <n v="0"/>
    <n v="0"/>
    <n v="0"/>
    <n v="0"/>
    <m/>
    <n v="68.2"/>
    <n v="1"/>
  </r>
  <r>
    <s v="USR-100594"/>
    <d v="2025-03-10T00:00:00"/>
    <x v="0"/>
    <s v="South"/>
    <x v="1"/>
    <x v="4"/>
    <s v="Basic"/>
    <n v="1"/>
    <n v="1"/>
    <n v="1"/>
    <n v="1"/>
    <n v="751.73"/>
    <n v="0"/>
    <n v="0"/>
    <n v="6"/>
    <n v="35.200000000000003"/>
    <n v="1"/>
  </r>
  <r>
    <s v="USR-100595"/>
    <d v="2025-05-10T00:00:00"/>
    <x v="0"/>
    <s v="South"/>
    <x v="1"/>
    <x v="4"/>
    <s v="Basic"/>
    <n v="0"/>
    <n v="0"/>
    <n v="0"/>
    <n v="0"/>
    <n v="0"/>
    <n v="0"/>
    <n v="0"/>
    <m/>
    <n v="59.3"/>
    <n v="1"/>
  </r>
  <r>
    <s v="USR-100596"/>
    <d v="2025-02-02T00:00:00"/>
    <x v="0"/>
    <s v="North"/>
    <x v="1"/>
    <x v="4"/>
    <s v="Free"/>
    <n v="0"/>
    <n v="0"/>
    <n v="0"/>
    <n v="0"/>
    <n v="0"/>
    <n v="0"/>
    <n v="0"/>
    <m/>
    <n v="68.099999999999994"/>
    <n v="1"/>
  </r>
  <r>
    <s v="USR-100597"/>
    <d v="2025-05-06T00:00:00"/>
    <x v="0"/>
    <s v="North"/>
    <x v="0"/>
    <x v="1"/>
    <s v="Free"/>
    <n v="1"/>
    <n v="1"/>
    <n v="0"/>
    <n v="0"/>
    <n v="0"/>
    <n v="0"/>
    <n v="0"/>
    <m/>
    <n v="74.8"/>
    <n v="1"/>
  </r>
  <r>
    <s v="USR-100598"/>
    <d v="2025-01-19T00:00:00"/>
    <x v="0"/>
    <s v="West"/>
    <x v="0"/>
    <x v="1"/>
    <s v="Free"/>
    <n v="1"/>
    <n v="1"/>
    <n v="1"/>
    <n v="0"/>
    <n v="0"/>
    <n v="0"/>
    <n v="0"/>
    <m/>
    <n v="61.7"/>
    <n v="1"/>
  </r>
  <r>
    <s v="USR-100599"/>
    <d v="2025-01-02T00:00:00"/>
    <x v="0"/>
    <s v="North"/>
    <x v="1"/>
    <x v="1"/>
    <s v="Free"/>
    <n v="1"/>
    <n v="0"/>
    <n v="0"/>
    <n v="0"/>
    <n v="0"/>
    <n v="0"/>
    <n v="0"/>
    <m/>
    <n v="24.3"/>
    <n v="1"/>
  </r>
  <r>
    <s v="USR-100600"/>
    <d v="2025-05-03T00:00:00"/>
    <x v="0"/>
    <s v="South"/>
    <x v="0"/>
    <x v="2"/>
    <s v="Free"/>
    <n v="0"/>
    <n v="0"/>
    <n v="0"/>
    <n v="0"/>
    <n v="0"/>
    <n v="1"/>
    <n v="0"/>
    <m/>
    <n v="61.9"/>
    <n v="1"/>
  </r>
  <r>
    <s v="USR-100601"/>
    <d v="2025-05-27T00:00:00"/>
    <x v="0"/>
    <s v="East"/>
    <x v="0"/>
    <x v="3"/>
    <s v="Premium"/>
    <n v="0"/>
    <n v="0"/>
    <n v="0"/>
    <n v="0"/>
    <n v="0"/>
    <n v="2"/>
    <n v="0"/>
    <m/>
    <n v="41.7"/>
    <n v="1"/>
  </r>
  <r>
    <s v="USR-100602"/>
    <d v="2025-02-09T00:00:00"/>
    <x v="0"/>
    <s v="South"/>
    <x v="0"/>
    <x v="4"/>
    <s v="Free"/>
    <n v="1"/>
    <n v="0"/>
    <n v="0"/>
    <n v="0"/>
    <n v="0"/>
    <n v="0"/>
    <n v="0"/>
    <m/>
    <n v="87.6"/>
    <n v="1"/>
  </r>
  <r>
    <s v="USR-100603"/>
    <d v="2025-05-18T00:00:00"/>
    <x v="0"/>
    <s v="East"/>
    <x v="1"/>
    <x v="2"/>
    <s v="Free"/>
    <n v="1"/>
    <n v="0"/>
    <n v="0"/>
    <n v="0"/>
    <n v="0"/>
    <n v="0"/>
    <n v="0"/>
    <m/>
    <n v="30.8"/>
    <n v="1"/>
  </r>
  <r>
    <s v="USR-100604"/>
    <d v="2025-05-17T00:00:00"/>
    <x v="0"/>
    <s v="North"/>
    <x v="1"/>
    <x v="0"/>
    <s v="Free"/>
    <n v="0"/>
    <n v="0"/>
    <n v="0"/>
    <n v="0"/>
    <n v="0"/>
    <n v="0"/>
    <n v="0"/>
    <m/>
    <n v="54"/>
    <n v="1"/>
  </r>
  <r>
    <s v="USR-100605"/>
    <d v="2025-01-25T00:00:00"/>
    <x v="0"/>
    <s v="East"/>
    <x v="0"/>
    <x v="3"/>
    <s v="Basic"/>
    <n v="1"/>
    <n v="0"/>
    <n v="0"/>
    <n v="0"/>
    <n v="0"/>
    <n v="1"/>
    <n v="0"/>
    <m/>
    <n v="54.5"/>
    <n v="1"/>
  </r>
  <r>
    <s v="USR-100606"/>
    <d v="2025-05-04T00:00:00"/>
    <x v="0"/>
    <s v="West"/>
    <x v="1"/>
    <x v="2"/>
    <s v="Premium"/>
    <n v="1"/>
    <n v="1"/>
    <n v="0"/>
    <n v="0"/>
    <n v="0"/>
    <n v="0"/>
    <n v="0"/>
    <m/>
    <n v="61.3"/>
    <n v="1"/>
  </r>
  <r>
    <s v="USR-100607"/>
    <d v="2025-04-14T00:00:00"/>
    <x v="0"/>
    <s v="West"/>
    <x v="1"/>
    <x v="1"/>
    <s v="Free"/>
    <n v="1"/>
    <n v="0"/>
    <n v="0"/>
    <n v="0"/>
    <n v="0"/>
    <n v="0"/>
    <n v="0"/>
    <m/>
    <n v="62.7"/>
    <n v="1"/>
  </r>
  <r>
    <s v="USR-100608"/>
    <d v="2025-04-18T00:00:00"/>
    <x v="0"/>
    <s v="South"/>
    <x v="1"/>
    <x v="2"/>
    <s v="Free"/>
    <n v="1"/>
    <n v="1"/>
    <n v="0"/>
    <n v="0"/>
    <n v="0"/>
    <n v="0"/>
    <n v="0"/>
    <m/>
    <n v="43.1"/>
    <n v="1"/>
  </r>
  <r>
    <s v="USR-100609"/>
    <d v="2025-02-24T00:00:00"/>
    <x v="0"/>
    <s v="South"/>
    <x v="0"/>
    <x v="0"/>
    <s v="Basic"/>
    <n v="0"/>
    <n v="0"/>
    <n v="0"/>
    <n v="0"/>
    <n v="0"/>
    <n v="0"/>
    <n v="0"/>
    <m/>
    <n v="59.9"/>
    <n v="1"/>
  </r>
  <r>
    <s v="USR-100610"/>
    <d v="2025-04-19T00:00:00"/>
    <x v="0"/>
    <s v="North"/>
    <x v="2"/>
    <x v="2"/>
    <s v="Free"/>
    <n v="1"/>
    <n v="1"/>
    <n v="1"/>
    <n v="0"/>
    <n v="0"/>
    <n v="0"/>
    <n v="0"/>
    <m/>
    <n v="55.7"/>
    <n v="1"/>
  </r>
  <r>
    <s v="USR-100611"/>
    <d v="2025-03-07T00:00:00"/>
    <x v="0"/>
    <s v="South"/>
    <x v="0"/>
    <x v="1"/>
    <s v="Basic"/>
    <n v="1"/>
    <n v="0"/>
    <n v="0"/>
    <n v="0"/>
    <n v="0"/>
    <n v="0"/>
    <n v="0"/>
    <m/>
    <n v="37.1"/>
    <n v="1"/>
  </r>
  <r>
    <s v="USR-100612"/>
    <d v="2025-03-09T00:00:00"/>
    <x v="0"/>
    <s v="East"/>
    <x v="1"/>
    <x v="1"/>
    <s v="Basic"/>
    <n v="0"/>
    <n v="0"/>
    <n v="0"/>
    <n v="0"/>
    <n v="0"/>
    <n v="1"/>
    <n v="0"/>
    <m/>
    <n v="46.7"/>
    <n v="1"/>
  </r>
  <r>
    <s v="USR-100613"/>
    <d v="2025-05-01T00:00:00"/>
    <x v="0"/>
    <s v="South"/>
    <x v="0"/>
    <x v="1"/>
    <s v="Basic"/>
    <n v="1"/>
    <n v="0"/>
    <n v="0"/>
    <n v="0"/>
    <n v="0"/>
    <n v="0"/>
    <n v="0"/>
    <m/>
    <n v="54.1"/>
    <n v="1"/>
  </r>
  <r>
    <s v="USR-100614"/>
    <d v="2025-02-09T00:00:00"/>
    <x v="0"/>
    <s v="West"/>
    <x v="0"/>
    <x v="1"/>
    <s v="Premium"/>
    <n v="1"/>
    <n v="1"/>
    <n v="1"/>
    <n v="0"/>
    <n v="0"/>
    <n v="0"/>
    <n v="0"/>
    <m/>
    <n v="56.1"/>
    <n v="1"/>
  </r>
  <r>
    <s v="USR-100615"/>
    <d v="2025-05-22T00:00:00"/>
    <x v="0"/>
    <s v="West"/>
    <x v="1"/>
    <x v="3"/>
    <s v="Premium"/>
    <n v="0"/>
    <n v="0"/>
    <n v="0"/>
    <n v="0"/>
    <n v="0"/>
    <n v="0"/>
    <n v="0"/>
    <m/>
    <n v="23.6"/>
    <n v="1"/>
  </r>
  <r>
    <s v="USR-100616"/>
    <d v="2025-02-11T00:00:00"/>
    <x v="0"/>
    <s v="North"/>
    <x v="1"/>
    <x v="1"/>
    <s v="Premium"/>
    <n v="0"/>
    <n v="0"/>
    <n v="0"/>
    <n v="0"/>
    <n v="0"/>
    <n v="0"/>
    <n v="0"/>
    <m/>
    <n v="54.7"/>
    <n v="1"/>
  </r>
  <r>
    <s v="USR-100617"/>
    <d v="2025-04-12T00:00:00"/>
    <x v="0"/>
    <s v="North"/>
    <x v="1"/>
    <x v="3"/>
    <s v="Basic"/>
    <n v="0"/>
    <n v="0"/>
    <n v="0"/>
    <n v="0"/>
    <n v="0"/>
    <n v="2"/>
    <n v="0"/>
    <m/>
    <n v="50.4"/>
    <n v="1"/>
  </r>
  <r>
    <s v="USR-100618"/>
    <d v="2025-03-01T00:00:00"/>
    <x v="0"/>
    <s v="West"/>
    <x v="1"/>
    <x v="4"/>
    <s v="Free"/>
    <n v="1"/>
    <n v="0"/>
    <n v="0"/>
    <n v="0"/>
    <n v="0"/>
    <n v="0"/>
    <n v="0"/>
    <m/>
    <n v="54.5"/>
    <n v="1"/>
  </r>
  <r>
    <s v="USR-100619"/>
    <d v="2025-03-17T00:00:00"/>
    <x v="0"/>
    <s v="West"/>
    <x v="0"/>
    <x v="0"/>
    <s v="Basic"/>
    <n v="0"/>
    <n v="0"/>
    <n v="0"/>
    <n v="0"/>
    <n v="0"/>
    <n v="0"/>
    <n v="0"/>
    <m/>
    <n v="58"/>
    <n v="1"/>
  </r>
  <r>
    <s v="USR-100620"/>
    <d v="2025-01-11T00:00:00"/>
    <x v="0"/>
    <s v="North"/>
    <x v="1"/>
    <x v="2"/>
    <s v="Free"/>
    <n v="0"/>
    <n v="0"/>
    <n v="0"/>
    <n v="0"/>
    <n v="0"/>
    <n v="0"/>
    <n v="0"/>
    <m/>
    <n v="42.9"/>
    <n v="1"/>
  </r>
  <r>
    <s v="USR-100621"/>
    <d v="2025-02-17T00:00:00"/>
    <x v="0"/>
    <s v="South"/>
    <x v="1"/>
    <x v="4"/>
    <s v="Premium"/>
    <n v="1"/>
    <n v="0"/>
    <n v="0"/>
    <n v="0"/>
    <n v="0"/>
    <n v="0"/>
    <n v="0"/>
    <m/>
    <n v="51.1"/>
    <n v="1"/>
  </r>
  <r>
    <s v="USR-100622"/>
    <d v="2025-03-25T00:00:00"/>
    <x v="0"/>
    <s v="East"/>
    <x v="1"/>
    <x v="2"/>
    <s v="Basic"/>
    <n v="1"/>
    <n v="1"/>
    <n v="0"/>
    <n v="0"/>
    <n v="0"/>
    <n v="0"/>
    <n v="0"/>
    <m/>
    <n v="51.8"/>
    <n v="1"/>
  </r>
  <r>
    <s v="USR-100623"/>
    <d v="2025-05-01T00:00:00"/>
    <x v="0"/>
    <s v="South"/>
    <x v="1"/>
    <x v="2"/>
    <s v="Free"/>
    <n v="0"/>
    <n v="0"/>
    <n v="0"/>
    <n v="0"/>
    <n v="0"/>
    <n v="0"/>
    <n v="0"/>
    <m/>
    <n v="67.7"/>
    <n v="1"/>
  </r>
  <r>
    <s v="USR-100624"/>
    <d v="2025-04-02T00:00:00"/>
    <x v="0"/>
    <s v="East"/>
    <x v="1"/>
    <x v="1"/>
    <s v="Basic"/>
    <n v="0"/>
    <n v="0"/>
    <n v="0"/>
    <n v="0"/>
    <n v="0"/>
    <n v="0"/>
    <n v="0"/>
    <m/>
    <n v="75.8"/>
    <n v="1"/>
  </r>
  <r>
    <s v="USR-100625"/>
    <d v="2025-04-05T00:00:00"/>
    <x v="0"/>
    <s v="East"/>
    <x v="1"/>
    <x v="0"/>
    <s v="Free"/>
    <n v="1"/>
    <n v="1"/>
    <n v="0"/>
    <n v="0"/>
    <n v="0"/>
    <n v="0"/>
    <n v="0"/>
    <m/>
    <n v="72.8"/>
    <n v="1"/>
  </r>
  <r>
    <s v="USR-100626"/>
    <d v="2025-02-24T00:00:00"/>
    <x v="0"/>
    <s v="North"/>
    <x v="0"/>
    <x v="4"/>
    <s v="Free"/>
    <n v="1"/>
    <n v="1"/>
    <n v="0"/>
    <n v="0"/>
    <n v="0"/>
    <n v="0"/>
    <n v="0"/>
    <m/>
    <n v="54.4"/>
    <n v="1"/>
  </r>
  <r>
    <s v="USR-100627"/>
    <d v="2025-01-24T00:00:00"/>
    <x v="0"/>
    <s v="West"/>
    <x v="1"/>
    <x v="2"/>
    <s v="Basic"/>
    <n v="1"/>
    <n v="0"/>
    <n v="0"/>
    <n v="0"/>
    <n v="0"/>
    <n v="0"/>
    <n v="0"/>
    <m/>
    <n v="51.8"/>
    <n v="1"/>
  </r>
  <r>
    <s v="USR-100628"/>
    <d v="2025-04-10T00:00:00"/>
    <x v="0"/>
    <s v="South"/>
    <x v="1"/>
    <x v="2"/>
    <s v="Free"/>
    <n v="0"/>
    <n v="0"/>
    <n v="0"/>
    <n v="0"/>
    <n v="0"/>
    <n v="0"/>
    <n v="0"/>
    <m/>
    <n v="40.299999999999997"/>
    <n v="1"/>
  </r>
  <r>
    <s v="USR-100629"/>
    <d v="2025-02-19T00:00:00"/>
    <x v="0"/>
    <s v="South"/>
    <x v="1"/>
    <x v="3"/>
    <s v="Free"/>
    <n v="1"/>
    <n v="1"/>
    <n v="1"/>
    <n v="0"/>
    <n v="0"/>
    <n v="0"/>
    <n v="0"/>
    <m/>
    <n v="61.7"/>
    <n v="1"/>
  </r>
  <r>
    <s v="USR-100630"/>
    <d v="2025-03-22T00:00:00"/>
    <x v="0"/>
    <s v="North"/>
    <x v="1"/>
    <x v="4"/>
    <s v="Free"/>
    <n v="0"/>
    <n v="0"/>
    <n v="0"/>
    <n v="0"/>
    <n v="0"/>
    <n v="0"/>
    <n v="0"/>
    <m/>
    <n v="45"/>
    <n v="1"/>
  </r>
  <r>
    <s v="USR-100631"/>
    <d v="2025-04-08T00:00:00"/>
    <x v="0"/>
    <s v="East"/>
    <x v="0"/>
    <x v="1"/>
    <s v="Premium"/>
    <n v="1"/>
    <n v="1"/>
    <n v="1"/>
    <n v="0"/>
    <n v="0"/>
    <n v="0"/>
    <n v="0"/>
    <m/>
    <n v="60"/>
    <n v="1"/>
  </r>
  <r>
    <s v="USR-100632"/>
    <d v="2025-03-16T00:00:00"/>
    <x v="0"/>
    <s v="North"/>
    <x v="1"/>
    <x v="4"/>
    <s v="Free"/>
    <n v="1"/>
    <n v="0"/>
    <n v="0"/>
    <n v="0"/>
    <n v="0"/>
    <n v="0"/>
    <n v="0"/>
    <m/>
    <m/>
    <n v="1"/>
  </r>
  <r>
    <s v="USR-100633"/>
    <d v="2025-03-07T00:00:00"/>
    <x v="0"/>
    <s v="East"/>
    <x v="1"/>
    <x v="2"/>
    <s v="Free"/>
    <n v="1"/>
    <n v="0"/>
    <n v="0"/>
    <n v="0"/>
    <n v="0"/>
    <n v="0"/>
    <n v="0"/>
    <m/>
    <n v="55.5"/>
    <n v="1"/>
  </r>
  <r>
    <s v="USR-100634"/>
    <d v="2025-03-16T00:00:00"/>
    <x v="0"/>
    <s v="South"/>
    <x v="1"/>
    <x v="3"/>
    <s v="Basic"/>
    <n v="0"/>
    <n v="0"/>
    <n v="0"/>
    <n v="0"/>
    <n v="0"/>
    <n v="0"/>
    <n v="0"/>
    <m/>
    <n v="51.8"/>
    <n v="1"/>
  </r>
  <r>
    <s v="USR-100635"/>
    <d v="2025-05-26T00:00:00"/>
    <x v="0"/>
    <s v="East"/>
    <x v="1"/>
    <x v="5"/>
    <s v="Premium"/>
    <n v="1"/>
    <n v="0"/>
    <n v="0"/>
    <n v="0"/>
    <n v="0"/>
    <n v="3"/>
    <n v="0"/>
    <m/>
    <n v="56"/>
    <n v="1"/>
  </r>
  <r>
    <s v="USR-100636"/>
    <d v="2025-01-14T00:00:00"/>
    <x v="0"/>
    <s v="West"/>
    <x v="1"/>
    <x v="1"/>
    <s v="Free"/>
    <n v="0"/>
    <n v="0"/>
    <n v="0"/>
    <n v="0"/>
    <n v="0"/>
    <n v="0"/>
    <n v="0"/>
    <m/>
    <n v="52.5"/>
    <n v="1"/>
  </r>
  <r>
    <s v="USR-100637"/>
    <d v="2025-03-30T00:00:00"/>
    <x v="0"/>
    <s v="West"/>
    <x v="1"/>
    <x v="2"/>
    <s v="Premium"/>
    <n v="1"/>
    <n v="0"/>
    <n v="0"/>
    <n v="0"/>
    <n v="0"/>
    <n v="0"/>
    <n v="0"/>
    <m/>
    <n v="42.5"/>
    <n v="1"/>
  </r>
  <r>
    <s v="USR-100638"/>
    <d v="2025-05-12T00:00:00"/>
    <x v="0"/>
    <s v="East"/>
    <x v="0"/>
    <x v="0"/>
    <s v="Free"/>
    <n v="1"/>
    <n v="1"/>
    <n v="1"/>
    <n v="0"/>
    <n v="0"/>
    <n v="0"/>
    <n v="0"/>
    <m/>
    <n v="65.3"/>
    <n v="1"/>
  </r>
  <r>
    <s v="USR-100639"/>
    <d v="2025-05-10T00:00:00"/>
    <x v="0"/>
    <s v="West"/>
    <x v="1"/>
    <x v="2"/>
    <s v="Free"/>
    <n v="0"/>
    <n v="0"/>
    <n v="0"/>
    <n v="0"/>
    <n v="0"/>
    <n v="0"/>
    <n v="0"/>
    <m/>
    <n v="37.6"/>
    <n v="1"/>
  </r>
  <r>
    <s v="USR-100640"/>
    <d v="2025-04-09T00:00:00"/>
    <x v="0"/>
    <s v="East"/>
    <x v="1"/>
    <x v="4"/>
    <s v="Basic"/>
    <n v="0"/>
    <n v="0"/>
    <n v="0"/>
    <n v="0"/>
    <n v="0"/>
    <n v="0"/>
    <n v="0"/>
    <m/>
    <n v="57.8"/>
    <n v="1"/>
  </r>
  <r>
    <s v="USR-100641"/>
    <d v="2025-05-26T00:00:00"/>
    <x v="0"/>
    <s v="North"/>
    <x v="1"/>
    <x v="4"/>
    <s v="Free"/>
    <n v="1"/>
    <n v="0"/>
    <n v="0"/>
    <n v="0"/>
    <n v="0"/>
    <n v="0"/>
    <n v="0"/>
    <m/>
    <n v="52.7"/>
    <n v="1"/>
  </r>
  <r>
    <s v="USR-100642"/>
    <d v="2025-02-12T00:00:00"/>
    <x v="0"/>
    <s v="North"/>
    <x v="1"/>
    <x v="1"/>
    <s v="Free"/>
    <n v="1"/>
    <n v="0"/>
    <n v="0"/>
    <n v="0"/>
    <n v="0"/>
    <n v="0"/>
    <n v="0"/>
    <m/>
    <n v="51.7"/>
    <n v="1"/>
  </r>
  <r>
    <s v="USR-100643"/>
    <d v="2025-04-01T00:00:00"/>
    <x v="0"/>
    <s v="North"/>
    <x v="0"/>
    <x v="0"/>
    <s v="Basic"/>
    <n v="0"/>
    <n v="0"/>
    <n v="0"/>
    <n v="0"/>
    <n v="0"/>
    <n v="0"/>
    <n v="0"/>
    <m/>
    <n v="57"/>
    <n v="1"/>
  </r>
  <r>
    <s v="USR-100644"/>
    <d v="2025-01-18T00:00:00"/>
    <x v="0"/>
    <s v="South"/>
    <x v="0"/>
    <x v="1"/>
    <s v="Basic"/>
    <n v="0"/>
    <n v="0"/>
    <n v="0"/>
    <n v="0"/>
    <n v="0"/>
    <n v="0"/>
    <n v="0"/>
    <m/>
    <n v="39.5"/>
    <n v="1"/>
  </r>
  <r>
    <s v="USR-100645"/>
    <d v="2025-04-06T00:00:00"/>
    <x v="0"/>
    <s v="East"/>
    <x v="2"/>
    <x v="1"/>
    <s v="Free"/>
    <n v="1"/>
    <n v="0"/>
    <n v="0"/>
    <n v="0"/>
    <n v="0"/>
    <n v="0"/>
    <n v="0"/>
    <m/>
    <n v="76.5"/>
    <n v="1"/>
  </r>
  <r>
    <s v="USR-100646"/>
    <d v="2025-04-17T00:00:00"/>
    <x v="0"/>
    <s v="East"/>
    <x v="1"/>
    <x v="1"/>
    <s v="Free"/>
    <n v="1"/>
    <n v="0"/>
    <n v="0"/>
    <n v="0"/>
    <n v="0"/>
    <n v="0"/>
    <n v="0"/>
    <m/>
    <n v="32.4"/>
    <n v="1"/>
  </r>
  <r>
    <s v="USR-100647"/>
    <d v="2025-02-07T00:00:00"/>
    <x v="0"/>
    <s v="North"/>
    <x v="0"/>
    <x v="2"/>
    <s v="Free"/>
    <n v="0"/>
    <n v="0"/>
    <n v="0"/>
    <n v="0"/>
    <n v="0"/>
    <n v="0"/>
    <n v="0"/>
    <m/>
    <n v="58.6"/>
    <n v="1"/>
  </r>
  <r>
    <s v="USR-100648"/>
    <d v="2025-03-04T00:00:00"/>
    <x v="0"/>
    <s v="East"/>
    <x v="1"/>
    <x v="1"/>
    <s v="Basic"/>
    <n v="1"/>
    <n v="0"/>
    <n v="0"/>
    <n v="0"/>
    <n v="0"/>
    <n v="0"/>
    <n v="0"/>
    <m/>
    <n v="78.599999999999994"/>
    <n v="1"/>
  </r>
  <r>
    <s v="USR-100649"/>
    <d v="2025-02-17T00:00:00"/>
    <x v="0"/>
    <s v="North"/>
    <x v="0"/>
    <x v="1"/>
    <s v="Premium"/>
    <n v="0"/>
    <n v="0"/>
    <n v="0"/>
    <n v="0"/>
    <n v="0"/>
    <n v="0"/>
    <n v="0"/>
    <m/>
    <n v="54.5"/>
    <n v="1"/>
  </r>
  <r>
    <s v="USR-100650"/>
    <d v="2025-05-06T00:00:00"/>
    <x v="0"/>
    <s v="South"/>
    <x v="1"/>
    <x v="3"/>
    <s v="Free"/>
    <n v="1"/>
    <n v="0"/>
    <n v="0"/>
    <n v="0"/>
    <n v="0"/>
    <n v="0"/>
    <n v="0"/>
    <m/>
    <n v="57.6"/>
    <n v="1"/>
  </r>
  <r>
    <s v="USR-100651"/>
    <d v="2025-03-25T00:00:00"/>
    <x v="0"/>
    <s v="South"/>
    <x v="1"/>
    <x v="3"/>
    <s v="Premium"/>
    <n v="0"/>
    <n v="0"/>
    <n v="0"/>
    <n v="0"/>
    <n v="0"/>
    <n v="0"/>
    <n v="0"/>
    <m/>
    <n v="52.8"/>
    <n v="1"/>
  </r>
  <r>
    <s v="USR-100652"/>
    <d v="2025-03-04T00:00:00"/>
    <x v="0"/>
    <s v="West"/>
    <x v="1"/>
    <x v="0"/>
    <s v="Premium"/>
    <n v="1"/>
    <n v="0"/>
    <n v="0"/>
    <n v="0"/>
    <n v="0"/>
    <n v="0"/>
    <n v="0"/>
    <m/>
    <n v="52.9"/>
    <n v="1"/>
  </r>
  <r>
    <s v="USR-100653"/>
    <d v="2025-05-09T00:00:00"/>
    <x v="0"/>
    <s v="West"/>
    <x v="1"/>
    <x v="1"/>
    <s v="Free"/>
    <n v="1"/>
    <n v="0"/>
    <n v="0"/>
    <n v="0"/>
    <n v="0"/>
    <n v="1"/>
    <n v="0"/>
    <m/>
    <n v="55.9"/>
    <n v="1"/>
  </r>
  <r>
    <s v="USR-100654"/>
    <d v="2025-05-17T00:00:00"/>
    <x v="0"/>
    <s v="West"/>
    <x v="1"/>
    <x v="3"/>
    <s v="Premium"/>
    <n v="1"/>
    <n v="0"/>
    <n v="0"/>
    <n v="0"/>
    <n v="0"/>
    <n v="0"/>
    <n v="0"/>
    <m/>
    <n v="74.2"/>
    <n v="1"/>
  </r>
  <r>
    <s v="USR-100655"/>
    <d v="2025-01-12T00:00:00"/>
    <x v="0"/>
    <s v="West"/>
    <x v="1"/>
    <x v="1"/>
    <s v="Free"/>
    <n v="0"/>
    <n v="0"/>
    <n v="0"/>
    <n v="0"/>
    <n v="0"/>
    <n v="0"/>
    <n v="0"/>
    <m/>
    <n v="46.3"/>
    <n v="1"/>
  </r>
  <r>
    <s v="USR-100656"/>
    <d v="2025-03-12T00:00:00"/>
    <x v="0"/>
    <s v="West"/>
    <x v="1"/>
    <x v="1"/>
    <s v="Premium"/>
    <n v="1"/>
    <n v="0"/>
    <n v="0"/>
    <n v="0"/>
    <n v="0"/>
    <n v="0"/>
    <n v="0"/>
    <m/>
    <n v="62"/>
    <n v="1"/>
  </r>
  <r>
    <s v="USR-100657"/>
    <d v="2025-04-02T00:00:00"/>
    <x v="0"/>
    <s v="South"/>
    <x v="1"/>
    <x v="1"/>
    <s v="Basic"/>
    <n v="0"/>
    <n v="0"/>
    <n v="0"/>
    <n v="0"/>
    <n v="0"/>
    <n v="0"/>
    <n v="0"/>
    <m/>
    <n v="55.6"/>
    <n v="1"/>
  </r>
  <r>
    <s v="USR-100658"/>
    <d v="2025-01-13T00:00:00"/>
    <x v="0"/>
    <s v="South"/>
    <x v="1"/>
    <x v="1"/>
    <s v="Basic"/>
    <n v="1"/>
    <n v="0"/>
    <n v="0"/>
    <n v="0"/>
    <n v="0"/>
    <n v="0"/>
    <n v="0"/>
    <m/>
    <n v="62.8"/>
    <n v="1"/>
  </r>
  <r>
    <s v="USR-100659"/>
    <d v="2025-03-07T00:00:00"/>
    <x v="0"/>
    <s v="East"/>
    <x v="1"/>
    <x v="3"/>
    <s v="Free"/>
    <n v="0"/>
    <n v="0"/>
    <n v="0"/>
    <n v="0"/>
    <n v="0"/>
    <n v="0"/>
    <n v="0"/>
    <m/>
    <n v="73.099999999999994"/>
    <n v="1"/>
  </r>
  <r>
    <s v="USR-100660"/>
    <d v="2025-04-20T00:00:00"/>
    <x v="0"/>
    <s v="South"/>
    <x v="0"/>
    <x v="4"/>
    <s v="Free"/>
    <n v="1"/>
    <n v="1"/>
    <n v="1"/>
    <n v="1"/>
    <n v="347.52"/>
    <n v="0"/>
    <n v="0"/>
    <n v="2"/>
    <n v="57.2"/>
    <n v="1"/>
  </r>
  <r>
    <s v="USR-100661"/>
    <d v="2025-01-07T00:00:00"/>
    <x v="0"/>
    <s v="South"/>
    <x v="1"/>
    <x v="2"/>
    <s v="Free"/>
    <n v="1"/>
    <n v="0"/>
    <n v="0"/>
    <n v="0"/>
    <n v="0"/>
    <n v="0"/>
    <n v="0"/>
    <m/>
    <n v="67.900000000000006"/>
    <n v="1"/>
  </r>
  <r>
    <s v="USR-100662"/>
    <d v="2025-04-23T00:00:00"/>
    <x v="0"/>
    <s v="South"/>
    <x v="1"/>
    <x v="3"/>
    <s v="Free"/>
    <n v="0"/>
    <n v="0"/>
    <n v="0"/>
    <n v="0"/>
    <n v="0"/>
    <n v="0"/>
    <n v="0"/>
    <m/>
    <n v="50.1"/>
    <n v="1"/>
  </r>
  <r>
    <s v="USR-100663"/>
    <d v="2025-05-26T00:00:00"/>
    <x v="0"/>
    <s v="North"/>
    <x v="1"/>
    <x v="2"/>
    <s v="Basic"/>
    <n v="0"/>
    <n v="0"/>
    <n v="0"/>
    <n v="0"/>
    <n v="0"/>
    <n v="0"/>
    <n v="0"/>
    <m/>
    <n v="67.8"/>
    <n v="1"/>
  </r>
  <r>
    <s v="USR-100664"/>
    <d v="2025-03-17T00:00:00"/>
    <x v="0"/>
    <s v="North"/>
    <x v="0"/>
    <x v="4"/>
    <s v="Basic"/>
    <n v="1"/>
    <n v="1"/>
    <n v="1"/>
    <n v="0"/>
    <n v="0"/>
    <n v="0"/>
    <n v="0"/>
    <m/>
    <n v="60.8"/>
    <n v="1"/>
  </r>
  <r>
    <s v="USR-100665"/>
    <d v="2025-05-17T00:00:00"/>
    <x v="0"/>
    <s v="North"/>
    <x v="0"/>
    <x v="2"/>
    <s v="Basic"/>
    <n v="1"/>
    <n v="0"/>
    <n v="0"/>
    <n v="0"/>
    <n v="0"/>
    <n v="3"/>
    <n v="0"/>
    <m/>
    <n v="33.700000000000003"/>
    <n v="1"/>
  </r>
  <r>
    <s v="USR-100666"/>
    <d v="2025-02-21T00:00:00"/>
    <x v="0"/>
    <s v="North"/>
    <x v="1"/>
    <x v="2"/>
    <s v="Basic"/>
    <n v="0"/>
    <n v="0"/>
    <n v="0"/>
    <n v="0"/>
    <n v="0"/>
    <n v="0"/>
    <n v="0"/>
    <m/>
    <n v="45.2"/>
    <n v="1"/>
  </r>
  <r>
    <s v="USR-100667"/>
    <d v="2025-02-25T00:00:00"/>
    <x v="0"/>
    <s v="East"/>
    <x v="0"/>
    <x v="2"/>
    <s v="Premium"/>
    <n v="0"/>
    <n v="0"/>
    <n v="0"/>
    <n v="0"/>
    <n v="0"/>
    <n v="0"/>
    <n v="0"/>
    <m/>
    <n v="48.2"/>
    <n v="1"/>
  </r>
  <r>
    <s v="USR-100668"/>
    <d v="2025-01-30T00:00:00"/>
    <x v="0"/>
    <s v="South"/>
    <x v="1"/>
    <x v="4"/>
    <s v="Free"/>
    <n v="1"/>
    <n v="1"/>
    <n v="0"/>
    <n v="0"/>
    <n v="0"/>
    <n v="1"/>
    <n v="0"/>
    <m/>
    <n v="44.8"/>
    <n v="1"/>
  </r>
  <r>
    <s v="USR-100669"/>
    <d v="2025-02-17T00:00:00"/>
    <x v="0"/>
    <s v="North"/>
    <x v="2"/>
    <x v="4"/>
    <s v="Basic"/>
    <n v="0"/>
    <n v="0"/>
    <n v="0"/>
    <n v="0"/>
    <n v="0"/>
    <n v="0"/>
    <n v="0"/>
    <m/>
    <n v="52.1"/>
    <n v="1"/>
  </r>
  <r>
    <s v="USR-100670"/>
    <d v="2025-05-17T00:00:00"/>
    <x v="0"/>
    <s v="North"/>
    <x v="0"/>
    <x v="2"/>
    <s v="Basic"/>
    <n v="1"/>
    <n v="0"/>
    <n v="0"/>
    <n v="0"/>
    <n v="0"/>
    <n v="0"/>
    <n v="0"/>
    <m/>
    <n v="30.7"/>
    <n v="1"/>
  </r>
  <r>
    <s v="USR-100671"/>
    <d v="2025-04-30T00:00:00"/>
    <x v="0"/>
    <s v="East"/>
    <x v="0"/>
    <x v="2"/>
    <s v="Free"/>
    <n v="1"/>
    <n v="0"/>
    <n v="0"/>
    <n v="0"/>
    <n v="0"/>
    <n v="0"/>
    <n v="0"/>
    <m/>
    <n v="58.4"/>
    <n v="1"/>
  </r>
  <r>
    <s v="USR-100672"/>
    <d v="2025-03-22T00:00:00"/>
    <x v="0"/>
    <s v="West"/>
    <x v="1"/>
    <x v="3"/>
    <s v="Free"/>
    <n v="1"/>
    <n v="1"/>
    <n v="0"/>
    <n v="0"/>
    <n v="0"/>
    <n v="0"/>
    <n v="0"/>
    <m/>
    <n v="52.6"/>
    <n v="1"/>
  </r>
  <r>
    <s v="USR-100673"/>
    <d v="2025-01-10T00:00:00"/>
    <x v="0"/>
    <s v="West"/>
    <x v="3"/>
    <x v="2"/>
    <s v="Free"/>
    <n v="1"/>
    <n v="0"/>
    <n v="0"/>
    <n v="0"/>
    <n v="0"/>
    <n v="1"/>
    <n v="0"/>
    <m/>
    <n v="19.100000000000001"/>
    <n v="1"/>
  </r>
  <r>
    <s v="USR-100674"/>
    <d v="2025-03-21T00:00:00"/>
    <x v="0"/>
    <s v="South"/>
    <x v="3"/>
    <x v="2"/>
    <s v="Free"/>
    <n v="1"/>
    <n v="0"/>
    <n v="0"/>
    <n v="0"/>
    <n v="0"/>
    <n v="0"/>
    <n v="0"/>
    <m/>
    <n v="36.799999999999997"/>
    <n v="1"/>
  </r>
  <r>
    <s v="USR-100675"/>
    <d v="2025-05-12T00:00:00"/>
    <x v="0"/>
    <s v="North"/>
    <x v="0"/>
    <x v="2"/>
    <s v="Basic"/>
    <n v="0"/>
    <n v="0"/>
    <n v="0"/>
    <n v="0"/>
    <n v="0"/>
    <n v="0"/>
    <n v="0"/>
    <m/>
    <n v="68.5"/>
    <n v="1"/>
  </r>
  <r>
    <s v="USR-100676"/>
    <d v="2025-05-24T00:00:00"/>
    <x v="0"/>
    <s v="West"/>
    <x v="1"/>
    <x v="2"/>
    <s v="Free"/>
    <n v="1"/>
    <n v="1"/>
    <n v="1"/>
    <n v="0"/>
    <n v="0"/>
    <n v="0"/>
    <n v="0"/>
    <m/>
    <n v="40.1"/>
    <n v="1"/>
  </r>
  <r>
    <s v="USR-100677"/>
    <d v="2025-05-03T00:00:00"/>
    <x v="0"/>
    <s v="West"/>
    <x v="2"/>
    <x v="1"/>
    <s v="Free"/>
    <n v="1"/>
    <n v="0"/>
    <n v="0"/>
    <n v="0"/>
    <n v="0"/>
    <n v="0"/>
    <n v="0"/>
    <m/>
    <n v="47.5"/>
    <n v="1"/>
  </r>
  <r>
    <s v="USR-100678"/>
    <d v="2025-01-14T00:00:00"/>
    <x v="0"/>
    <s v="South"/>
    <x v="1"/>
    <x v="1"/>
    <s v="Basic"/>
    <n v="1"/>
    <n v="0"/>
    <n v="0"/>
    <n v="0"/>
    <n v="0"/>
    <n v="0"/>
    <n v="0"/>
    <m/>
    <n v="77.099999999999994"/>
    <n v="1"/>
  </r>
  <r>
    <s v="USR-100679"/>
    <d v="2025-03-27T00:00:00"/>
    <x v="0"/>
    <s v="West"/>
    <x v="1"/>
    <x v="4"/>
    <s v="Basic"/>
    <n v="1"/>
    <n v="0"/>
    <n v="0"/>
    <n v="0"/>
    <n v="0"/>
    <n v="0"/>
    <n v="0"/>
    <m/>
    <n v="75.900000000000006"/>
    <n v="1"/>
  </r>
  <r>
    <s v="USR-100680"/>
    <d v="2025-02-28T00:00:00"/>
    <x v="0"/>
    <s v="North"/>
    <x v="0"/>
    <x v="3"/>
    <s v="Premium"/>
    <n v="0"/>
    <n v="0"/>
    <n v="0"/>
    <n v="0"/>
    <n v="0"/>
    <n v="1"/>
    <n v="0"/>
    <m/>
    <n v="52"/>
    <n v="1"/>
  </r>
  <r>
    <s v="USR-100681"/>
    <d v="2025-05-12T00:00:00"/>
    <x v="0"/>
    <s v="West"/>
    <x v="0"/>
    <x v="3"/>
    <s v="Premium"/>
    <n v="1"/>
    <n v="1"/>
    <n v="1"/>
    <n v="0"/>
    <n v="0"/>
    <n v="0"/>
    <n v="0"/>
    <m/>
    <n v="64.900000000000006"/>
    <n v="1"/>
  </r>
  <r>
    <s v="USR-100682"/>
    <d v="2025-03-14T00:00:00"/>
    <x v="0"/>
    <s v="North"/>
    <x v="1"/>
    <x v="1"/>
    <s v="Free"/>
    <n v="1"/>
    <n v="0"/>
    <n v="0"/>
    <n v="0"/>
    <n v="0"/>
    <n v="0"/>
    <n v="0"/>
    <m/>
    <n v="48.2"/>
    <n v="1"/>
  </r>
  <r>
    <s v="USR-100683"/>
    <d v="2025-05-20T00:00:00"/>
    <x v="0"/>
    <s v="East"/>
    <x v="1"/>
    <x v="1"/>
    <s v="Basic"/>
    <n v="0"/>
    <n v="0"/>
    <n v="0"/>
    <n v="0"/>
    <n v="0"/>
    <n v="0"/>
    <n v="0"/>
    <m/>
    <n v="42.1"/>
    <n v="1"/>
  </r>
  <r>
    <s v="USR-100684"/>
    <d v="2025-02-24T00:00:00"/>
    <x v="0"/>
    <s v="South"/>
    <x v="0"/>
    <x v="3"/>
    <s v="Free"/>
    <n v="0"/>
    <n v="0"/>
    <n v="0"/>
    <n v="0"/>
    <n v="0"/>
    <n v="0"/>
    <n v="0"/>
    <m/>
    <n v="27.6"/>
    <n v="1"/>
  </r>
  <r>
    <s v="USR-100685"/>
    <d v="2025-02-13T00:00:00"/>
    <x v="0"/>
    <s v="West"/>
    <x v="1"/>
    <x v="1"/>
    <s v="Premium"/>
    <n v="1"/>
    <n v="0"/>
    <n v="0"/>
    <n v="0"/>
    <n v="0"/>
    <n v="1"/>
    <n v="0"/>
    <m/>
    <n v="68.5"/>
    <n v="1"/>
  </r>
  <r>
    <s v="USR-100686"/>
    <d v="2025-02-06T00:00:00"/>
    <x v="0"/>
    <s v="South"/>
    <x v="0"/>
    <x v="1"/>
    <s v="Free"/>
    <n v="1"/>
    <n v="1"/>
    <n v="1"/>
    <n v="0"/>
    <n v="0"/>
    <n v="0"/>
    <n v="0"/>
    <m/>
    <n v="59.2"/>
    <n v="1"/>
  </r>
  <r>
    <s v="USR-100687"/>
    <d v="2025-03-02T00:00:00"/>
    <x v="0"/>
    <s v="North"/>
    <x v="1"/>
    <x v="4"/>
    <s v="Basic"/>
    <n v="1"/>
    <n v="0"/>
    <n v="0"/>
    <n v="0"/>
    <n v="0"/>
    <n v="0"/>
    <n v="0"/>
    <m/>
    <n v="63.3"/>
    <n v="1"/>
  </r>
  <r>
    <s v="USR-100688"/>
    <d v="2025-04-28T00:00:00"/>
    <x v="0"/>
    <s v="East"/>
    <x v="0"/>
    <x v="2"/>
    <s v="Free"/>
    <n v="0"/>
    <n v="0"/>
    <n v="0"/>
    <n v="0"/>
    <n v="0"/>
    <n v="0"/>
    <n v="0"/>
    <m/>
    <n v="55"/>
    <n v="1"/>
  </r>
  <r>
    <s v="USR-100689"/>
    <d v="2025-05-27T00:00:00"/>
    <x v="0"/>
    <s v="North"/>
    <x v="0"/>
    <x v="5"/>
    <s v="Premium"/>
    <n v="1"/>
    <n v="0"/>
    <n v="0"/>
    <n v="0"/>
    <n v="0"/>
    <n v="0"/>
    <n v="0"/>
    <m/>
    <n v="64.8"/>
    <n v="1"/>
  </r>
  <r>
    <s v="USR-100690"/>
    <d v="2025-04-07T00:00:00"/>
    <x v="0"/>
    <s v="South"/>
    <x v="0"/>
    <x v="1"/>
    <s v="Basic"/>
    <n v="0"/>
    <n v="0"/>
    <n v="0"/>
    <n v="0"/>
    <n v="0"/>
    <n v="2"/>
    <n v="0"/>
    <m/>
    <n v="41.8"/>
    <n v="1"/>
  </r>
  <r>
    <s v="USR-100691"/>
    <d v="2025-04-14T00:00:00"/>
    <x v="1"/>
    <s v="East"/>
    <x v="0"/>
    <x v="4"/>
    <s v="Basic"/>
    <n v="1"/>
    <n v="0"/>
    <n v="0"/>
    <n v="0"/>
    <n v="0"/>
    <n v="0"/>
    <n v="0"/>
    <m/>
    <n v="73.2"/>
    <n v="1"/>
  </r>
  <r>
    <s v="USR-100692"/>
    <d v="2025-05-09T00:00:00"/>
    <x v="1"/>
    <s v="East"/>
    <x v="0"/>
    <x v="1"/>
    <s v="Basic"/>
    <n v="1"/>
    <n v="1"/>
    <n v="1"/>
    <n v="0"/>
    <n v="0"/>
    <n v="3"/>
    <n v="0"/>
    <m/>
    <n v="55.7"/>
    <n v="1"/>
  </r>
  <r>
    <s v="USR-100693"/>
    <d v="2025-03-21T00:00:00"/>
    <x v="1"/>
    <s v="North"/>
    <x v="1"/>
    <x v="1"/>
    <s v="Free"/>
    <n v="1"/>
    <n v="1"/>
    <n v="1"/>
    <n v="0"/>
    <n v="0"/>
    <n v="0"/>
    <n v="0"/>
    <m/>
    <n v="82.8"/>
    <n v="1"/>
  </r>
  <r>
    <s v="USR-100694"/>
    <d v="2025-03-27T00:00:00"/>
    <x v="1"/>
    <s v="North"/>
    <x v="0"/>
    <x v="4"/>
    <s v="Free"/>
    <n v="1"/>
    <n v="0"/>
    <n v="0"/>
    <n v="0"/>
    <n v="0"/>
    <n v="0"/>
    <n v="0"/>
    <m/>
    <m/>
    <n v="1"/>
  </r>
  <r>
    <s v="USR-100695"/>
    <d v="2025-01-21T00:00:00"/>
    <x v="1"/>
    <s v="South"/>
    <x v="1"/>
    <x v="2"/>
    <s v="Free"/>
    <n v="0"/>
    <n v="0"/>
    <n v="0"/>
    <n v="0"/>
    <n v="0"/>
    <n v="0"/>
    <n v="0"/>
    <m/>
    <n v="34.4"/>
    <n v="1"/>
  </r>
  <r>
    <s v="USR-100696"/>
    <d v="2025-03-19T00:00:00"/>
    <x v="1"/>
    <s v="East"/>
    <x v="0"/>
    <x v="0"/>
    <s v="Free"/>
    <n v="1"/>
    <n v="0"/>
    <n v="0"/>
    <n v="0"/>
    <n v="0"/>
    <n v="0"/>
    <n v="0"/>
    <m/>
    <n v="45.2"/>
    <n v="1"/>
  </r>
  <r>
    <s v="USR-100697"/>
    <d v="2025-05-27T00:00:00"/>
    <x v="1"/>
    <s v="North"/>
    <x v="1"/>
    <x v="1"/>
    <s v="Basic"/>
    <n v="1"/>
    <n v="0"/>
    <n v="0"/>
    <n v="0"/>
    <n v="0"/>
    <n v="0"/>
    <n v="0"/>
    <m/>
    <n v="71.599999999999994"/>
    <n v="1"/>
  </r>
  <r>
    <s v="USR-100698"/>
    <d v="2025-01-01T00:00:00"/>
    <x v="1"/>
    <s v="North"/>
    <x v="1"/>
    <x v="4"/>
    <s v="Free"/>
    <n v="1"/>
    <n v="1"/>
    <n v="1"/>
    <n v="0"/>
    <n v="0"/>
    <n v="0"/>
    <n v="0"/>
    <m/>
    <n v="69.099999999999994"/>
    <n v="1"/>
  </r>
  <r>
    <s v="USR-100699"/>
    <d v="2025-03-29T00:00:00"/>
    <x v="1"/>
    <s v="West"/>
    <x v="0"/>
    <x v="2"/>
    <s v="Premium"/>
    <n v="1"/>
    <n v="0"/>
    <n v="0"/>
    <n v="0"/>
    <n v="0"/>
    <n v="1"/>
    <n v="0"/>
    <m/>
    <n v="37.700000000000003"/>
    <n v="1"/>
  </r>
  <r>
    <s v="USR-100700"/>
    <d v="2025-03-17T00:00:00"/>
    <x v="1"/>
    <s v="West"/>
    <x v="0"/>
    <x v="1"/>
    <s v="Basic"/>
    <n v="1"/>
    <n v="0"/>
    <n v="0"/>
    <n v="0"/>
    <n v="0"/>
    <n v="1"/>
    <n v="0"/>
    <m/>
    <n v="60.8"/>
    <n v="1"/>
  </r>
  <r>
    <s v="USR-100701"/>
    <d v="2025-05-05T00:00:00"/>
    <x v="1"/>
    <s v="North"/>
    <x v="1"/>
    <x v="1"/>
    <s v="Free"/>
    <n v="1"/>
    <n v="1"/>
    <n v="1"/>
    <n v="1"/>
    <n v="444.13"/>
    <n v="0"/>
    <n v="0"/>
    <n v="10"/>
    <n v="80.7"/>
    <n v="1"/>
  </r>
  <r>
    <s v="USR-100702"/>
    <d v="2025-05-04T00:00:00"/>
    <x v="1"/>
    <s v="South"/>
    <x v="1"/>
    <x v="4"/>
    <s v="Free"/>
    <n v="1"/>
    <n v="0"/>
    <n v="0"/>
    <n v="0"/>
    <n v="0"/>
    <n v="0"/>
    <n v="0"/>
    <m/>
    <n v="69.2"/>
    <n v="1"/>
  </r>
  <r>
    <s v="USR-100703"/>
    <d v="2025-03-25T00:00:00"/>
    <x v="1"/>
    <s v="North"/>
    <x v="1"/>
    <x v="4"/>
    <s v="Premium"/>
    <n v="0"/>
    <n v="0"/>
    <n v="0"/>
    <n v="0"/>
    <n v="0"/>
    <n v="3"/>
    <n v="0"/>
    <m/>
    <n v="55"/>
    <n v="1"/>
  </r>
  <r>
    <s v="USR-100704"/>
    <d v="2025-04-17T00:00:00"/>
    <x v="1"/>
    <s v="West"/>
    <x v="1"/>
    <x v="0"/>
    <s v="Free"/>
    <n v="0"/>
    <n v="0"/>
    <n v="0"/>
    <n v="0"/>
    <n v="0"/>
    <n v="1"/>
    <n v="0"/>
    <m/>
    <n v="73.599999999999994"/>
    <n v="1"/>
  </r>
  <r>
    <s v="USR-100705"/>
    <d v="2025-05-23T00:00:00"/>
    <x v="1"/>
    <s v="South"/>
    <x v="1"/>
    <x v="3"/>
    <s v="Basic"/>
    <n v="1"/>
    <n v="1"/>
    <n v="1"/>
    <n v="0"/>
    <n v="0"/>
    <n v="1"/>
    <n v="0"/>
    <m/>
    <n v="47.3"/>
    <n v="1"/>
  </r>
  <r>
    <s v="USR-100706"/>
    <d v="2025-01-13T00:00:00"/>
    <x v="1"/>
    <s v="North"/>
    <x v="1"/>
    <x v="1"/>
    <s v="Basic"/>
    <n v="0"/>
    <n v="0"/>
    <n v="0"/>
    <n v="0"/>
    <n v="0"/>
    <n v="0"/>
    <n v="0"/>
    <m/>
    <n v="43.6"/>
    <n v="1"/>
  </r>
  <r>
    <s v="USR-100707"/>
    <d v="2025-01-29T00:00:00"/>
    <x v="1"/>
    <s v="North"/>
    <x v="0"/>
    <x v="1"/>
    <s v="Basic"/>
    <n v="1"/>
    <n v="0"/>
    <n v="0"/>
    <n v="0"/>
    <n v="0"/>
    <n v="0"/>
    <n v="0"/>
    <m/>
    <m/>
    <n v="1"/>
  </r>
  <r>
    <s v="USR-100708"/>
    <d v="2025-05-11T00:00:00"/>
    <x v="1"/>
    <s v="South"/>
    <x v="1"/>
    <x v="0"/>
    <s v="Free"/>
    <n v="0"/>
    <n v="0"/>
    <n v="0"/>
    <n v="0"/>
    <n v="0"/>
    <n v="0"/>
    <n v="0"/>
    <m/>
    <n v="55.2"/>
    <n v="1"/>
  </r>
  <r>
    <s v="USR-100709"/>
    <d v="2025-04-22T00:00:00"/>
    <x v="1"/>
    <s v="South"/>
    <x v="1"/>
    <x v="1"/>
    <s v="Basic"/>
    <n v="1"/>
    <n v="0"/>
    <n v="0"/>
    <n v="0"/>
    <n v="0"/>
    <n v="0"/>
    <n v="0"/>
    <m/>
    <n v="49.4"/>
    <n v="1"/>
  </r>
  <r>
    <s v="USR-100710"/>
    <d v="2025-03-03T00:00:00"/>
    <x v="1"/>
    <s v="South"/>
    <x v="1"/>
    <x v="4"/>
    <s v="Free"/>
    <n v="1"/>
    <n v="1"/>
    <n v="1"/>
    <n v="0"/>
    <n v="0"/>
    <n v="1"/>
    <n v="0"/>
    <m/>
    <n v="60.1"/>
    <n v="1"/>
  </r>
  <r>
    <s v="USR-100711"/>
    <d v="2025-03-18T00:00:00"/>
    <x v="1"/>
    <s v="North"/>
    <x v="1"/>
    <x v="3"/>
    <s v="Free"/>
    <n v="1"/>
    <n v="0"/>
    <n v="0"/>
    <n v="0"/>
    <n v="0"/>
    <n v="0"/>
    <n v="0"/>
    <m/>
    <n v="55.9"/>
    <n v="1"/>
  </r>
  <r>
    <s v="USR-100712"/>
    <d v="2025-04-05T00:00:00"/>
    <x v="1"/>
    <s v="North"/>
    <x v="1"/>
    <x v="1"/>
    <s v="Basic"/>
    <n v="1"/>
    <n v="0"/>
    <n v="0"/>
    <n v="0"/>
    <n v="0"/>
    <n v="0"/>
    <n v="0"/>
    <m/>
    <n v="51.5"/>
    <n v="1"/>
  </r>
  <r>
    <s v="USR-100713"/>
    <d v="2025-04-16T00:00:00"/>
    <x v="1"/>
    <s v="East"/>
    <x v="1"/>
    <x v="1"/>
    <s v="Free"/>
    <n v="1"/>
    <n v="1"/>
    <n v="1"/>
    <n v="1"/>
    <n v="516.66999999999996"/>
    <n v="0"/>
    <n v="0"/>
    <n v="11"/>
    <n v="57.9"/>
    <n v="1"/>
  </r>
  <r>
    <s v="USR-100714"/>
    <d v="2025-04-20T00:00:00"/>
    <x v="1"/>
    <s v="South"/>
    <x v="1"/>
    <x v="3"/>
    <s v="Free"/>
    <n v="1"/>
    <n v="1"/>
    <n v="1"/>
    <n v="1"/>
    <n v="277.18"/>
    <n v="2"/>
    <n v="0"/>
    <n v="8"/>
    <n v="59.2"/>
    <n v="1"/>
  </r>
  <r>
    <s v="USR-100715"/>
    <d v="2025-02-15T00:00:00"/>
    <x v="1"/>
    <s v="South"/>
    <x v="1"/>
    <x v="1"/>
    <s v="Free"/>
    <n v="0"/>
    <n v="0"/>
    <n v="0"/>
    <n v="0"/>
    <n v="0"/>
    <n v="0"/>
    <n v="0"/>
    <m/>
    <n v="64.2"/>
    <n v="1"/>
  </r>
  <r>
    <s v="USR-100716"/>
    <d v="2025-01-21T00:00:00"/>
    <x v="1"/>
    <s v="South"/>
    <x v="1"/>
    <x v="1"/>
    <s v="Free"/>
    <n v="1"/>
    <n v="0"/>
    <n v="0"/>
    <n v="0"/>
    <n v="0"/>
    <n v="0"/>
    <n v="0"/>
    <m/>
    <n v="68.8"/>
    <n v="1"/>
  </r>
  <r>
    <s v="USR-100717"/>
    <d v="2025-05-23T00:00:00"/>
    <x v="1"/>
    <s v="North"/>
    <x v="1"/>
    <x v="2"/>
    <s v="Premium"/>
    <n v="1"/>
    <n v="1"/>
    <n v="1"/>
    <n v="0"/>
    <n v="0"/>
    <n v="0"/>
    <n v="0"/>
    <m/>
    <n v="77.900000000000006"/>
    <n v="1"/>
  </r>
  <r>
    <s v="USR-100718"/>
    <d v="2025-01-22T00:00:00"/>
    <x v="1"/>
    <s v="West"/>
    <x v="1"/>
    <x v="2"/>
    <s v="Basic"/>
    <n v="0"/>
    <n v="0"/>
    <n v="0"/>
    <n v="0"/>
    <n v="0"/>
    <n v="0"/>
    <n v="0"/>
    <m/>
    <n v="92.1"/>
    <n v="1"/>
  </r>
  <r>
    <s v="USR-100719"/>
    <d v="2025-04-24T00:00:00"/>
    <x v="1"/>
    <s v="West"/>
    <x v="1"/>
    <x v="2"/>
    <s v="Premium"/>
    <n v="0"/>
    <n v="0"/>
    <n v="0"/>
    <n v="0"/>
    <n v="0"/>
    <n v="0"/>
    <n v="0"/>
    <m/>
    <n v="63.6"/>
    <n v="1"/>
  </r>
  <r>
    <s v="USR-100720"/>
    <d v="2025-01-17T00:00:00"/>
    <x v="1"/>
    <s v="West"/>
    <x v="0"/>
    <x v="0"/>
    <s v="Free"/>
    <n v="0"/>
    <n v="0"/>
    <n v="0"/>
    <n v="0"/>
    <n v="0"/>
    <n v="2"/>
    <n v="0"/>
    <m/>
    <n v="61.6"/>
    <n v="1"/>
  </r>
  <r>
    <s v="USR-100721"/>
    <d v="2025-01-22T00:00:00"/>
    <x v="1"/>
    <s v="East"/>
    <x v="1"/>
    <x v="3"/>
    <s v="Basic"/>
    <n v="1"/>
    <n v="1"/>
    <n v="0"/>
    <n v="0"/>
    <n v="0"/>
    <n v="0"/>
    <n v="0"/>
    <m/>
    <n v="82.3"/>
    <n v="1"/>
  </r>
  <r>
    <s v="USR-100722"/>
    <d v="2025-05-04T00:00:00"/>
    <x v="1"/>
    <s v="East"/>
    <x v="0"/>
    <x v="2"/>
    <s v="Free"/>
    <n v="1"/>
    <n v="0"/>
    <n v="0"/>
    <n v="0"/>
    <n v="0"/>
    <n v="0"/>
    <n v="0"/>
    <m/>
    <n v="79.3"/>
    <n v="1"/>
  </r>
  <r>
    <s v="USR-100723"/>
    <d v="2025-03-13T00:00:00"/>
    <x v="1"/>
    <s v="South"/>
    <x v="1"/>
    <x v="5"/>
    <s v="Free"/>
    <n v="0"/>
    <n v="0"/>
    <n v="0"/>
    <n v="0"/>
    <n v="0"/>
    <n v="0"/>
    <n v="0"/>
    <m/>
    <n v="57.7"/>
    <n v="1"/>
  </r>
  <r>
    <s v="USR-100724"/>
    <d v="2025-01-02T00:00:00"/>
    <x v="1"/>
    <s v="North"/>
    <x v="1"/>
    <x v="1"/>
    <s v="Basic"/>
    <n v="1"/>
    <n v="0"/>
    <n v="0"/>
    <n v="0"/>
    <n v="0"/>
    <n v="0"/>
    <n v="0"/>
    <m/>
    <n v="63.1"/>
    <n v="1"/>
  </r>
  <r>
    <s v="USR-100725"/>
    <d v="2025-01-13T00:00:00"/>
    <x v="1"/>
    <s v="East"/>
    <x v="1"/>
    <x v="2"/>
    <s v="Basic"/>
    <n v="0"/>
    <n v="0"/>
    <n v="0"/>
    <n v="0"/>
    <n v="0"/>
    <n v="0"/>
    <n v="0"/>
    <m/>
    <n v="72.3"/>
    <n v="1"/>
  </r>
  <r>
    <s v="USR-100726"/>
    <d v="2025-02-09T00:00:00"/>
    <x v="1"/>
    <s v="East"/>
    <x v="1"/>
    <x v="4"/>
    <s v="Free"/>
    <n v="1"/>
    <n v="1"/>
    <n v="1"/>
    <n v="0"/>
    <n v="0"/>
    <n v="0"/>
    <n v="0"/>
    <m/>
    <n v="78"/>
    <n v="1"/>
  </r>
  <r>
    <s v="USR-100727"/>
    <d v="2025-04-09T00:00:00"/>
    <x v="1"/>
    <s v="East"/>
    <x v="0"/>
    <x v="4"/>
    <s v="Free"/>
    <n v="1"/>
    <n v="1"/>
    <n v="0"/>
    <n v="0"/>
    <n v="0"/>
    <n v="2"/>
    <n v="0"/>
    <m/>
    <n v="59.1"/>
    <n v="1"/>
  </r>
  <r>
    <s v="USR-100728"/>
    <d v="2025-01-02T00:00:00"/>
    <x v="1"/>
    <s v="South"/>
    <x v="1"/>
    <x v="2"/>
    <s v="Free"/>
    <n v="1"/>
    <n v="1"/>
    <n v="1"/>
    <n v="1"/>
    <n v="604.09"/>
    <n v="0"/>
    <n v="0"/>
    <n v="7"/>
    <n v="47.1"/>
    <n v="1"/>
  </r>
  <r>
    <s v="USR-100729"/>
    <d v="2025-02-04T00:00:00"/>
    <x v="1"/>
    <s v="South"/>
    <x v="1"/>
    <x v="5"/>
    <s v="Premium"/>
    <n v="1"/>
    <n v="0"/>
    <n v="0"/>
    <n v="0"/>
    <n v="0"/>
    <n v="0"/>
    <n v="0"/>
    <m/>
    <n v="64.900000000000006"/>
    <n v="1"/>
  </r>
  <r>
    <s v="USR-100730"/>
    <d v="2025-02-19T00:00:00"/>
    <x v="1"/>
    <s v="South"/>
    <x v="2"/>
    <x v="2"/>
    <s v="Free"/>
    <n v="0"/>
    <n v="0"/>
    <n v="0"/>
    <n v="0"/>
    <n v="0"/>
    <n v="0"/>
    <n v="0"/>
    <m/>
    <n v="67.3"/>
    <n v="1"/>
  </r>
  <r>
    <s v="USR-100731"/>
    <d v="2025-04-01T00:00:00"/>
    <x v="1"/>
    <s v="East"/>
    <x v="1"/>
    <x v="2"/>
    <s v="Basic"/>
    <n v="1"/>
    <n v="0"/>
    <n v="0"/>
    <n v="0"/>
    <n v="0"/>
    <n v="2"/>
    <n v="0"/>
    <m/>
    <n v="52.9"/>
    <n v="1"/>
  </r>
  <r>
    <s v="USR-100732"/>
    <d v="2025-01-29T00:00:00"/>
    <x v="1"/>
    <s v="North"/>
    <x v="1"/>
    <x v="3"/>
    <s v="Free"/>
    <n v="1"/>
    <n v="1"/>
    <n v="1"/>
    <n v="1"/>
    <n v="442.37"/>
    <n v="1"/>
    <n v="0"/>
    <n v="4"/>
    <n v="69.900000000000006"/>
    <n v="1"/>
  </r>
  <r>
    <s v="USR-100733"/>
    <d v="2025-05-18T00:00:00"/>
    <x v="1"/>
    <s v="North"/>
    <x v="1"/>
    <x v="3"/>
    <s v="Basic"/>
    <n v="1"/>
    <n v="1"/>
    <n v="1"/>
    <n v="0"/>
    <n v="0"/>
    <n v="0"/>
    <n v="0"/>
    <m/>
    <n v="78.900000000000006"/>
    <n v="1"/>
  </r>
  <r>
    <s v="USR-100734"/>
    <d v="2025-04-15T00:00:00"/>
    <x v="1"/>
    <s v="East"/>
    <x v="0"/>
    <x v="4"/>
    <s v="Premium"/>
    <n v="1"/>
    <n v="1"/>
    <n v="0"/>
    <n v="0"/>
    <n v="0"/>
    <n v="0"/>
    <n v="0"/>
    <m/>
    <n v="83.3"/>
    <n v="1"/>
  </r>
  <r>
    <s v="USR-100735"/>
    <d v="2025-03-28T00:00:00"/>
    <x v="1"/>
    <s v="East"/>
    <x v="0"/>
    <x v="0"/>
    <s v="Free"/>
    <n v="1"/>
    <n v="0"/>
    <n v="0"/>
    <n v="0"/>
    <n v="0"/>
    <n v="1"/>
    <n v="0"/>
    <m/>
    <n v="24.5"/>
    <n v="1"/>
  </r>
  <r>
    <s v="USR-100736"/>
    <d v="2025-04-01T00:00:00"/>
    <x v="1"/>
    <s v="West"/>
    <x v="1"/>
    <x v="2"/>
    <s v="Basic"/>
    <n v="1"/>
    <n v="1"/>
    <n v="0"/>
    <n v="0"/>
    <n v="0"/>
    <n v="1"/>
    <n v="0"/>
    <m/>
    <n v="56.9"/>
    <n v="1"/>
  </r>
  <r>
    <s v="USR-100737"/>
    <d v="2025-02-11T00:00:00"/>
    <x v="1"/>
    <s v="West"/>
    <x v="1"/>
    <x v="4"/>
    <s v="Basic"/>
    <n v="1"/>
    <n v="0"/>
    <n v="0"/>
    <n v="0"/>
    <n v="0"/>
    <n v="0"/>
    <n v="0"/>
    <m/>
    <n v="69.900000000000006"/>
    <n v="1"/>
  </r>
  <r>
    <s v="USR-100738"/>
    <d v="2025-03-04T00:00:00"/>
    <x v="1"/>
    <s v="South"/>
    <x v="1"/>
    <x v="1"/>
    <s v="Free"/>
    <n v="1"/>
    <n v="1"/>
    <n v="1"/>
    <n v="0"/>
    <n v="0"/>
    <n v="0"/>
    <n v="0"/>
    <m/>
    <n v="81.5"/>
    <n v="1"/>
  </r>
  <r>
    <s v="USR-100739"/>
    <d v="2025-01-21T00:00:00"/>
    <x v="1"/>
    <s v="North"/>
    <x v="2"/>
    <x v="4"/>
    <s v="Basic"/>
    <n v="0"/>
    <n v="0"/>
    <n v="0"/>
    <n v="0"/>
    <n v="0"/>
    <n v="2"/>
    <n v="0"/>
    <m/>
    <n v="37.9"/>
    <n v="1"/>
  </r>
  <r>
    <s v="USR-100740"/>
    <d v="2025-02-14T00:00:00"/>
    <x v="1"/>
    <s v="North"/>
    <x v="1"/>
    <x v="3"/>
    <s v="Free"/>
    <n v="0"/>
    <n v="0"/>
    <n v="0"/>
    <n v="0"/>
    <n v="0"/>
    <n v="1"/>
    <n v="0"/>
    <m/>
    <n v="61.7"/>
    <n v="1"/>
  </r>
  <r>
    <s v="USR-100741"/>
    <d v="2025-03-30T00:00:00"/>
    <x v="1"/>
    <s v="North"/>
    <x v="0"/>
    <x v="5"/>
    <s v="Premium"/>
    <n v="1"/>
    <n v="0"/>
    <n v="0"/>
    <n v="0"/>
    <n v="0"/>
    <n v="2"/>
    <n v="0"/>
    <m/>
    <n v="53.2"/>
    <n v="1"/>
  </r>
  <r>
    <s v="USR-100742"/>
    <d v="2025-01-08T00:00:00"/>
    <x v="1"/>
    <s v="North"/>
    <x v="1"/>
    <x v="3"/>
    <s v="Free"/>
    <n v="0"/>
    <n v="0"/>
    <n v="0"/>
    <n v="0"/>
    <n v="0"/>
    <n v="0"/>
    <n v="0"/>
    <m/>
    <n v="61.9"/>
    <n v="1"/>
  </r>
  <r>
    <s v="USR-100743"/>
    <d v="2025-02-07T00:00:00"/>
    <x v="1"/>
    <s v="North"/>
    <x v="1"/>
    <x v="4"/>
    <s v="Free"/>
    <n v="1"/>
    <n v="1"/>
    <n v="1"/>
    <n v="0"/>
    <n v="0"/>
    <n v="0"/>
    <n v="0"/>
    <m/>
    <n v="68.900000000000006"/>
    <n v="1"/>
  </r>
  <r>
    <s v="USR-100744"/>
    <d v="2025-02-01T00:00:00"/>
    <x v="1"/>
    <s v="North"/>
    <x v="2"/>
    <x v="2"/>
    <s v="Basic"/>
    <n v="0"/>
    <n v="0"/>
    <n v="0"/>
    <n v="0"/>
    <n v="0"/>
    <n v="0"/>
    <n v="0"/>
    <m/>
    <n v="66.3"/>
    <n v="1"/>
  </r>
  <r>
    <s v="USR-100745"/>
    <d v="2025-01-04T00:00:00"/>
    <x v="1"/>
    <s v="East"/>
    <x v="1"/>
    <x v="0"/>
    <s v="Free"/>
    <n v="1"/>
    <n v="1"/>
    <n v="1"/>
    <n v="0"/>
    <n v="0"/>
    <n v="0"/>
    <n v="0"/>
    <m/>
    <n v="54.6"/>
    <n v="1"/>
  </r>
  <r>
    <s v="USR-100746"/>
    <d v="2025-05-16T00:00:00"/>
    <x v="1"/>
    <s v="South"/>
    <x v="0"/>
    <x v="3"/>
    <s v="Free"/>
    <n v="0"/>
    <n v="0"/>
    <n v="0"/>
    <n v="0"/>
    <n v="0"/>
    <n v="0"/>
    <n v="0"/>
    <m/>
    <n v="53.8"/>
    <n v="1"/>
  </r>
  <r>
    <s v="USR-100747"/>
    <d v="2025-02-28T00:00:00"/>
    <x v="1"/>
    <s v="West"/>
    <x v="1"/>
    <x v="3"/>
    <s v="Free"/>
    <n v="1"/>
    <n v="0"/>
    <n v="0"/>
    <n v="0"/>
    <n v="0"/>
    <n v="0"/>
    <n v="0"/>
    <m/>
    <n v="59.5"/>
    <n v="1"/>
  </r>
  <r>
    <s v="USR-100748"/>
    <d v="2025-04-12T00:00:00"/>
    <x v="1"/>
    <s v="North"/>
    <x v="1"/>
    <x v="3"/>
    <s v="Free"/>
    <n v="1"/>
    <n v="0"/>
    <n v="0"/>
    <n v="0"/>
    <n v="0"/>
    <n v="0"/>
    <n v="0"/>
    <m/>
    <n v="52.6"/>
    <n v="1"/>
  </r>
  <r>
    <s v="USR-100749"/>
    <d v="2025-03-23T00:00:00"/>
    <x v="1"/>
    <s v="South"/>
    <x v="0"/>
    <x v="1"/>
    <s v="Free"/>
    <n v="0"/>
    <n v="0"/>
    <n v="0"/>
    <n v="0"/>
    <n v="0"/>
    <n v="0"/>
    <n v="0"/>
    <m/>
    <n v="49"/>
    <n v="1"/>
  </r>
  <r>
    <s v="USR-100750"/>
    <d v="2025-05-29T00:00:00"/>
    <x v="1"/>
    <s v="North"/>
    <x v="2"/>
    <x v="1"/>
    <s v="Free"/>
    <n v="1"/>
    <n v="0"/>
    <n v="0"/>
    <n v="0"/>
    <n v="0"/>
    <n v="0"/>
    <n v="0"/>
    <m/>
    <n v="59.3"/>
    <n v="1"/>
  </r>
  <r>
    <s v="USR-100751"/>
    <d v="2025-05-21T00:00:00"/>
    <x v="1"/>
    <s v="South"/>
    <x v="0"/>
    <x v="1"/>
    <s v="Basic"/>
    <n v="0"/>
    <n v="0"/>
    <n v="0"/>
    <n v="0"/>
    <n v="0"/>
    <n v="0"/>
    <n v="0"/>
    <m/>
    <n v="67.2"/>
    <n v="1"/>
  </r>
  <r>
    <s v="USR-100752"/>
    <d v="2025-01-05T00:00:00"/>
    <x v="1"/>
    <s v="South"/>
    <x v="1"/>
    <x v="3"/>
    <s v="Premium"/>
    <n v="0"/>
    <n v="0"/>
    <n v="0"/>
    <n v="0"/>
    <n v="0"/>
    <n v="0"/>
    <n v="0"/>
    <m/>
    <n v="73.5"/>
    <n v="1"/>
  </r>
  <r>
    <s v="USR-100753"/>
    <d v="2025-03-19T00:00:00"/>
    <x v="1"/>
    <s v="East"/>
    <x v="2"/>
    <x v="1"/>
    <s v="Free"/>
    <n v="1"/>
    <n v="0"/>
    <n v="0"/>
    <n v="0"/>
    <n v="0"/>
    <n v="0"/>
    <n v="0"/>
    <m/>
    <n v="61.2"/>
    <n v="1"/>
  </r>
  <r>
    <s v="USR-100754"/>
    <d v="2025-04-24T00:00:00"/>
    <x v="1"/>
    <s v="East"/>
    <x v="1"/>
    <x v="1"/>
    <s v="Free"/>
    <n v="1"/>
    <n v="0"/>
    <n v="0"/>
    <n v="0"/>
    <n v="0"/>
    <n v="1"/>
    <n v="0"/>
    <m/>
    <n v="56.4"/>
    <n v="1"/>
  </r>
  <r>
    <s v="USR-100755"/>
    <d v="2025-03-10T00:00:00"/>
    <x v="1"/>
    <s v="North"/>
    <x v="2"/>
    <x v="1"/>
    <s v="Free"/>
    <n v="0"/>
    <n v="0"/>
    <n v="0"/>
    <n v="0"/>
    <n v="0"/>
    <n v="3"/>
    <n v="0"/>
    <m/>
    <n v="72.599999999999994"/>
    <n v="1"/>
  </r>
  <r>
    <s v="USR-100756"/>
    <d v="2025-02-22T00:00:00"/>
    <x v="1"/>
    <s v="South"/>
    <x v="2"/>
    <x v="3"/>
    <s v="Basic"/>
    <n v="1"/>
    <n v="0"/>
    <n v="0"/>
    <n v="0"/>
    <n v="0"/>
    <n v="0"/>
    <n v="0"/>
    <m/>
    <n v="61.7"/>
    <n v="1"/>
  </r>
  <r>
    <s v="USR-100757"/>
    <d v="2025-05-17T00:00:00"/>
    <x v="1"/>
    <s v="East"/>
    <x v="1"/>
    <x v="4"/>
    <s v="Free"/>
    <n v="0"/>
    <n v="0"/>
    <n v="0"/>
    <n v="0"/>
    <n v="0"/>
    <n v="1"/>
    <n v="0"/>
    <m/>
    <n v="66.900000000000006"/>
    <n v="1"/>
  </r>
  <r>
    <s v="USR-100758"/>
    <d v="2025-05-09T00:00:00"/>
    <x v="1"/>
    <s v="East"/>
    <x v="2"/>
    <x v="3"/>
    <s v="Premium"/>
    <n v="1"/>
    <n v="1"/>
    <n v="1"/>
    <n v="1"/>
    <n v="1506.24"/>
    <n v="1"/>
    <n v="0"/>
    <n v="7"/>
    <n v="64.900000000000006"/>
    <n v="1"/>
  </r>
  <r>
    <s v="USR-100759"/>
    <d v="2025-04-26T00:00:00"/>
    <x v="1"/>
    <s v="East"/>
    <x v="2"/>
    <x v="1"/>
    <s v="Premium"/>
    <n v="1"/>
    <n v="0"/>
    <n v="0"/>
    <n v="0"/>
    <n v="0"/>
    <n v="0"/>
    <n v="0"/>
    <m/>
    <n v="57.5"/>
    <n v="1"/>
  </r>
  <r>
    <s v="USR-100760"/>
    <d v="2025-03-15T00:00:00"/>
    <x v="1"/>
    <s v="West"/>
    <x v="0"/>
    <x v="4"/>
    <s v="Free"/>
    <n v="1"/>
    <n v="1"/>
    <n v="1"/>
    <n v="0"/>
    <n v="0"/>
    <n v="0"/>
    <n v="0"/>
    <m/>
    <n v="76.3"/>
    <n v="1"/>
  </r>
  <r>
    <s v="USR-100761"/>
    <d v="2025-04-03T00:00:00"/>
    <x v="1"/>
    <s v="North"/>
    <x v="1"/>
    <x v="2"/>
    <s v="Free"/>
    <n v="0"/>
    <n v="0"/>
    <n v="0"/>
    <n v="0"/>
    <n v="0"/>
    <n v="0"/>
    <n v="0"/>
    <m/>
    <n v="47.5"/>
    <n v="1"/>
  </r>
  <r>
    <s v="USR-100762"/>
    <d v="2025-03-26T00:00:00"/>
    <x v="1"/>
    <s v="South"/>
    <x v="1"/>
    <x v="2"/>
    <s v="Free"/>
    <n v="0"/>
    <n v="0"/>
    <n v="0"/>
    <n v="0"/>
    <n v="0"/>
    <n v="0"/>
    <n v="0"/>
    <m/>
    <m/>
    <n v="1"/>
  </r>
  <r>
    <s v="USR-100763"/>
    <d v="2025-02-05T00:00:00"/>
    <x v="1"/>
    <s v="West"/>
    <x v="0"/>
    <x v="1"/>
    <s v="Basic"/>
    <n v="1"/>
    <n v="1"/>
    <n v="0"/>
    <n v="0"/>
    <n v="0"/>
    <n v="2"/>
    <n v="0"/>
    <m/>
    <n v="71.599999999999994"/>
    <n v="1"/>
  </r>
  <r>
    <s v="USR-100764"/>
    <d v="2025-05-08T00:00:00"/>
    <x v="1"/>
    <s v="South"/>
    <x v="1"/>
    <x v="4"/>
    <s v="Basic"/>
    <n v="1"/>
    <n v="1"/>
    <n v="0"/>
    <n v="0"/>
    <n v="0"/>
    <n v="0"/>
    <n v="0"/>
    <m/>
    <n v="55.8"/>
    <n v="1"/>
  </r>
  <r>
    <s v="USR-100765"/>
    <d v="2025-03-25T00:00:00"/>
    <x v="1"/>
    <s v="South"/>
    <x v="0"/>
    <x v="1"/>
    <s v="Basic"/>
    <n v="0"/>
    <n v="0"/>
    <n v="0"/>
    <n v="0"/>
    <n v="0"/>
    <n v="1"/>
    <n v="0"/>
    <m/>
    <n v="60.1"/>
    <n v="1"/>
  </r>
  <r>
    <s v="USR-100766"/>
    <d v="2025-01-14T00:00:00"/>
    <x v="1"/>
    <s v="West"/>
    <x v="3"/>
    <x v="0"/>
    <s v="Basic"/>
    <n v="1"/>
    <n v="1"/>
    <n v="1"/>
    <n v="0"/>
    <n v="0"/>
    <n v="1"/>
    <n v="0"/>
    <m/>
    <n v="59.3"/>
    <n v="1"/>
  </r>
  <r>
    <s v="USR-100767"/>
    <d v="2025-03-26T00:00:00"/>
    <x v="1"/>
    <s v="North"/>
    <x v="1"/>
    <x v="1"/>
    <s v="Free"/>
    <n v="1"/>
    <n v="1"/>
    <n v="0"/>
    <n v="0"/>
    <n v="0"/>
    <n v="2"/>
    <n v="0"/>
    <m/>
    <n v="49.3"/>
    <n v="1"/>
  </r>
  <r>
    <s v="USR-100768"/>
    <d v="2025-01-16T00:00:00"/>
    <x v="1"/>
    <s v="East"/>
    <x v="1"/>
    <x v="3"/>
    <s v="Free"/>
    <n v="1"/>
    <n v="0"/>
    <n v="0"/>
    <n v="0"/>
    <n v="0"/>
    <n v="0"/>
    <n v="0"/>
    <m/>
    <n v="75"/>
    <n v="1"/>
  </r>
  <r>
    <s v="USR-100769"/>
    <d v="2025-01-04T00:00:00"/>
    <x v="1"/>
    <s v="East"/>
    <x v="1"/>
    <x v="4"/>
    <s v="Free"/>
    <n v="1"/>
    <n v="0"/>
    <n v="0"/>
    <n v="0"/>
    <n v="0"/>
    <n v="0"/>
    <n v="0"/>
    <m/>
    <n v="70.2"/>
    <n v="1"/>
  </r>
  <r>
    <s v="USR-100770"/>
    <d v="2025-02-09T00:00:00"/>
    <x v="1"/>
    <s v="South"/>
    <x v="0"/>
    <x v="1"/>
    <s v="Premium"/>
    <n v="1"/>
    <n v="1"/>
    <n v="1"/>
    <n v="0"/>
    <n v="0"/>
    <n v="0"/>
    <n v="0"/>
    <m/>
    <n v="56.6"/>
    <n v="1"/>
  </r>
  <r>
    <s v="USR-100771"/>
    <d v="2025-03-05T00:00:00"/>
    <x v="1"/>
    <s v="East"/>
    <x v="0"/>
    <x v="1"/>
    <s v="Free"/>
    <n v="1"/>
    <n v="0"/>
    <n v="0"/>
    <n v="0"/>
    <n v="0"/>
    <n v="0"/>
    <n v="0"/>
    <m/>
    <n v="65.400000000000006"/>
    <n v="1"/>
  </r>
  <r>
    <s v="USR-100772"/>
    <d v="2025-03-10T00:00:00"/>
    <x v="1"/>
    <s v="East"/>
    <x v="1"/>
    <x v="3"/>
    <s v="Basic"/>
    <n v="1"/>
    <n v="0"/>
    <n v="0"/>
    <n v="0"/>
    <n v="0"/>
    <n v="0"/>
    <n v="0"/>
    <m/>
    <n v="47.6"/>
    <n v="1"/>
  </r>
  <r>
    <s v="USR-100773"/>
    <d v="2025-02-27T00:00:00"/>
    <x v="1"/>
    <s v="East"/>
    <x v="0"/>
    <x v="2"/>
    <s v="Free"/>
    <n v="1"/>
    <n v="0"/>
    <n v="0"/>
    <n v="0"/>
    <n v="0"/>
    <n v="0"/>
    <n v="0"/>
    <m/>
    <n v="56.7"/>
    <n v="1"/>
  </r>
  <r>
    <s v="USR-100774"/>
    <d v="2025-03-10T00:00:00"/>
    <x v="1"/>
    <s v="North"/>
    <x v="0"/>
    <x v="3"/>
    <s v="Basic"/>
    <n v="1"/>
    <n v="1"/>
    <n v="0"/>
    <n v="0"/>
    <n v="0"/>
    <n v="0"/>
    <n v="0"/>
    <m/>
    <n v="71.400000000000006"/>
    <n v="1"/>
  </r>
  <r>
    <s v="USR-100775"/>
    <d v="2025-04-23T00:00:00"/>
    <x v="1"/>
    <s v="West"/>
    <x v="1"/>
    <x v="4"/>
    <s v="Free"/>
    <n v="0"/>
    <n v="0"/>
    <n v="0"/>
    <n v="0"/>
    <n v="0"/>
    <n v="2"/>
    <n v="0"/>
    <m/>
    <n v="60.5"/>
    <n v="1"/>
  </r>
  <r>
    <s v="USR-100776"/>
    <d v="2025-04-12T00:00:00"/>
    <x v="1"/>
    <s v="North"/>
    <x v="0"/>
    <x v="2"/>
    <s v="Free"/>
    <n v="1"/>
    <n v="0"/>
    <n v="0"/>
    <n v="0"/>
    <n v="0"/>
    <n v="0"/>
    <n v="0"/>
    <m/>
    <n v="46.7"/>
    <n v="1"/>
  </r>
  <r>
    <s v="USR-100777"/>
    <d v="2025-01-26T00:00:00"/>
    <x v="1"/>
    <s v="East"/>
    <x v="0"/>
    <x v="3"/>
    <s v="Free"/>
    <n v="0"/>
    <n v="0"/>
    <n v="0"/>
    <n v="0"/>
    <n v="0"/>
    <n v="0"/>
    <n v="0"/>
    <m/>
    <n v="61"/>
    <n v="1"/>
  </r>
  <r>
    <s v="USR-100778"/>
    <d v="2025-05-24T00:00:00"/>
    <x v="1"/>
    <s v="West"/>
    <x v="2"/>
    <x v="2"/>
    <s v="Free"/>
    <n v="0"/>
    <n v="0"/>
    <n v="0"/>
    <n v="0"/>
    <n v="0"/>
    <n v="0"/>
    <n v="0"/>
    <m/>
    <n v="60.9"/>
    <n v="1"/>
  </r>
  <r>
    <s v="USR-100779"/>
    <d v="2025-01-08T00:00:00"/>
    <x v="1"/>
    <s v="South"/>
    <x v="1"/>
    <x v="1"/>
    <s v="Free"/>
    <n v="1"/>
    <n v="0"/>
    <n v="0"/>
    <n v="0"/>
    <n v="0"/>
    <n v="0"/>
    <n v="0"/>
    <m/>
    <n v="67.099999999999994"/>
    <n v="1"/>
  </r>
  <r>
    <s v="USR-100780"/>
    <d v="2025-04-15T00:00:00"/>
    <x v="1"/>
    <s v="North"/>
    <x v="1"/>
    <x v="3"/>
    <s v="Free"/>
    <n v="1"/>
    <n v="1"/>
    <n v="0"/>
    <n v="0"/>
    <n v="0"/>
    <n v="0"/>
    <n v="0"/>
    <m/>
    <n v="59.6"/>
    <n v="1"/>
  </r>
  <r>
    <s v="USR-100781"/>
    <d v="2025-01-15T00:00:00"/>
    <x v="1"/>
    <s v="South"/>
    <x v="0"/>
    <x v="2"/>
    <s v="Free"/>
    <n v="1"/>
    <n v="0"/>
    <n v="0"/>
    <n v="0"/>
    <n v="0"/>
    <n v="0"/>
    <n v="0"/>
    <m/>
    <n v="83.8"/>
    <n v="1"/>
  </r>
  <r>
    <s v="USR-100782"/>
    <d v="2025-02-28T00:00:00"/>
    <x v="1"/>
    <s v="North"/>
    <x v="1"/>
    <x v="1"/>
    <s v="Basic"/>
    <n v="1"/>
    <n v="1"/>
    <n v="1"/>
    <n v="0"/>
    <n v="0"/>
    <n v="0"/>
    <n v="0"/>
    <m/>
    <n v="70.8"/>
    <n v="1"/>
  </r>
  <r>
    <s v="USR-100783"/>
    <d v="2025-01-01T00:00:00"/>
    <x v="1"/>
    <s v="North"/>
    <x v="2"/>
    <x v="1"/>
    <s v="Basic"/>
    <n v="0"/>
    <n v="0"/>
    <n v="0"/>
    <n v="0"/>
    <n v="0"/>
    <n v="0"/>
    <n v="0"/>
    <m/>
    <n v="65.900000000000006"/>
    <n v="1"/>
  </r>
  <r>
    <s v="USR-100784"/>
    <d v="2025-04-17T00:00:00"/>
    <x v="1"/>
    <s v="West"/>
    <x v="1"/>
    <x v="3"/>
    <s v="Free"/>
    <n v="1"/>
    <n v="0"/>
    <n v="0"/>
    <n v="0"/>
    <n v="0"/>
    <n v="0"/>
    <n v="0"/>
    <m/>
    <n v="58"/>
    <n v="1"/>
  </r>
  <r>
    <s v="USR-100785"/>
    <d v="2025-02-19T00:00:00"/>
    <x v="1"/>
    <s v="North"/>
    <x v="1"/>
    <x v="0"/>
    <s v="Basic"/>
    <n v="1"/>
    <n v="1"/>
    <n v="0"/>
    <n v="0"/>
    <n v="0"/>
    <n v="0"/>
    <n v="0"/>
    <m/>
    <n v="80.3"/>
    <n v="1"/>
  </r>
  <r>
    <s v="USR-100786"/>
    <d v="2025-03-14T00:00:00"/>
    <x v="1"/>
    <s v="North"/>
    <x v="0"/>
    <x v="1"/>
    <s v="Free"/>
    <n v="1"/>
    <n v="0"/>
    <n v="0"/>
    <n v="0"/>
    <n v="0"/>
    <n v="0"/>
    <n v="0"/>
    <m/>
    <n v="55.7"/>
    <n v="1"/>
  </r>
  <r>
    <s v="USR-100787"/>
    <d v="2025-04-21T00:00:00"/>
    <x v="1"/>
    <s v="North"/>
    <x v="1"/>
    <x v="1"/>
    <s v="Free"/>
    <n v="1"/>
    <n v="1"/>
    <n v="0"/>
    <n v="0"/>
    <n v="0"/>
    <n v="0"/>
    <n v="0"/>
    <m/>
    <n v="84.9"/>
    <n v="1"/>
  </r>
  <r>
    <s v="USR-100788"/>
    <d v="2025-02-14T00:00:00"/>
    <x v="1"/>
    <s v="North"/>
    <x v="1"/>
    <x v="1"/>
    <s v="Free"/>
    <n v="1"/>
    <n v="0"/>
    <n v="0"/>
    <n v="0"/>
    <n v="0"/>
    <n v="0"/>
    <n v="0"/>
    <m/>
    <n v="63.3"/>
    <n v="1"/>
  </r>
  <r>
    <s v="USR-100789"/>
    <d v="2025-05-30T00:00:00"/>
    <x v="1"/>
    <s v="West"/>
    <x v="1"/>
    <x v="1"/>
    <s v="Free"/>
    <n v="0"/>
    <n v="0"/>
    <n v="0"/>
    <n v="0"/>
    <n v="0"/>
    <n v="0"/>
    <n v="0"/>
    <m/>
    <n v="53.1"/>
    <n v="1"/>
  </r>
  <r>
    <s v="USR-100790"/>
    <d v="2025-01-20T00:00:00"/>
    <x v="1"/>
    <s v="West"/>
    <x v="1"/>
    <x v="1"/>
    <s v="Free"/>
    <n v="0"/>
    <n v="0"/>
    <n v="0"/>
    <n v="0"/>
    <n v="0"/>
    <n v="0"/>
    <n v="0"/>
    <m/>
    <n v="66"/>
    <n v="1"/>
  </r>
  <r>
    <s v="USR-100791"/>
    <d v="2025-03-17T00:00:00"/>
    <x v="1"/>
    <s v="West"/>
    <x v="1"/>
    <x v="4"/>
    <s v="Premium"/>
    <n v="0"/>
    <n v="0"/>
    <n v="0"/>
    <n v="0"/>
    <n v="0"/>
    <n v="0"/>
    <n v="0"/>
    <m/>
    <n v="54.7"/>
    <n v="1"/>
  </r>
  <r>
    <s v="USR-100792"/>
    <d v="2025-03-04T00:00:00"/>
    <x v="1"/>
    <s v="West"/>
    <x v="1"/>
    <x v="4"/>
    <s v="Free"/>
    <n v="1"/>
    <n v="1"/>
    <n v="0"/>
    <n v="0"/>
    <n v="0"/>
    <n v="1"/>
    <n v="0"/>
    <m/>
    <n v="41.2"/>
    <n v="1"/>
  </r>
  <r>
    <s v="USR-100793"/>
    <d v="2025-02-22T00:00:00"/>
    <x v="1"/>
    <s v="South"/>
    <x v="1"/>
    <x v="1"/>
    <s v="Premium"/>
    <n v="0"/>
    <n v="0"/>
    <n v="0"/>
    <n v="0"/>
    <n v="0"/>
    <n v="0"/>
    <n v="0"/>
    <m/>
    <n v="66.7"/>
    <n v="1"/>
  </r>
  <r>
    <s v="USR-100794"/>
    <d v="2025-05-02T00:00:00"/>
    <x v="1"/>
    <s v="North"/>
    <x v="1"/>
    <x v="2"/>
    <s v="Premium"/>
    <n v="0"/>
    <n v="0"/>
    <n v="0"/>
    <n v="0"/>
    <n v="0"/>
    <n v="0"/>
    <n v="0"/>
    <m/>
    <n v="39.4"/>
    <n v="1"/>
  </r>
  <r>
    <s v="USR-100795"/>
    <d v="2025-03-13T00:00:00"/>
    <x v="1"/>
    <s v="West"/>
    <x v="0"/>
    <x v="1"/>
    <s v="Premium"/>
    <n v="0"/>
    <n v="0"/>
    <n v="0"/>
    <n v="0"/>
    <n v="0"/>
    <n v="3"/>
    <n v="0"/>
    <m/>
    <n v="67"/>
    <n v="1"/>
  </r>
  <r>
    <s v="USR-100796"/>
    <d v="2025-05-31T00:00:00"/>
    <x v="1"/>
    <s v="South"/>
    <x v="1"/>
    <x v="1"/>
    <s v="Basic"/>
    <n v="1"/>
    <n v="0"/>
    <n v="0"/>
    <n v="0"/>
    <n v="0"/>
    <n v="0"/>
    <n v="0"/>
    <m/>
    <n v="50.4"/>
    <n v="1"/>
  </r>
  <r>
    <s v="USR-100797"/>
    <d v="2025-03-07T00:00:00"/>
    <x v="1"/>
    <s v="West"/>
    <x v="0"/>
    <x v="4"/>
    <s v="Free"/>
    <n v="1"/>
    <n v="0"/>
    <n v="0"/>
    <n v="0"/>
    <n v="0"/>
    <n v="0"/>
    <n v="0"/>
    <m/>
    <n v="53.8"/>
    <n v="1"/>
  </r>
  <r>
    <s v="USR-100798"/>
    <d v="2025-02-22T00:00:00"/>
    <x v="1"/>
    <s v="West"/>
    <x v="1"/>
    <x v="2"/>
    <s v="Basic"/>
    <n v="0"/>
    <n v="0"/>
    <n v="0"/>
    <n v="0"/>
    <n v="0"/>
    <n v="1"/>
    <n v="0"/>
    <m/>
    <n v="82.7"/>
    <n v="1"/>
  </r>
  <r>
    <s v="USR-100799"/>
    <d v="2025-01-05T00:00:00"/>
    <x v="1"/>
    <s v="West"/>
    <x v="0"/>
    <x v="2"/>
    <s v="Free"/>
    <n v="1"/>
    <n v="1"/>
    <n v="1"/>
    <n v="0"/>
    <n v="0"/>
    <n v="0"/>
    <n v="0"/>
    <m/>
    <n v="63.9"/>
    <n v="1"/>
  </r>
  <r>
    <s v="USR-100800"/>
    <d v="2025-01-21T00:00:00"/>
    <x v="1"/>
    <s v="West"/>
    <x v="1"/>
    <x v="3"/>
    <s v="Free"/>
    <n v="1"/>
    <n v="0"/>
    <n v="0"/>
    <n v="0"/>
    <n v="0"/>
    <n v="0"/>
    <n v="0"/>
    <m/>
    <n v="61.9"/>
    <n v="1"/>
  </r>
  <r>
    <s v="USR-100801"/>
    <d v="2025-01-25T00:00:00"/>
    <x v="1"/>
    <s v="North"/>
    <x v="0"/>
    <x v="4"/>
    <s v="Free"/>
    <n v="1"/>
    <n v="1"/>
    <n v="1"/>
    <n v="0"/>
    <n v="0"/>
    <n v="0"/>
    <n v="0"/>
    <m/>
    <n v="75"/>
    <n v="1"/>
  </r>
  <r>
    <s v="USR-100802"/>
    <d v="2025-04-04T00:00:00"/>
    <x v="1"/>
    <s v="West"/>
    <x v="1"/>
    <x v="2"/>
    <s v="Basic"/>
    <n v="1"/>
    <n v="1"/>
    <n v="1"/>
    <n v="0"/>
    <n v="0"/>
    <n v="0"/>
    <n v="0"/>
    <m/>
    <n v="43"/>
    <n v="1"/>
  </r>
  <r>
    <s v="USR-100803"/>
    <d v="2025-03-25T00:00:00"/>
    <x v="1"/>
    <s v="North"/>
    <x v="0"/>
    <x v="4"/>
    <s v="Premium"/>
    <n v="0"/>
    <n v="0"/>
    <n v="0"/>
    <n v="0"/>
    <n v="0"/>
    <n v="0"/>
    <n v="0"/>
    <m/>
    <n v="54.3"/>
    <n v="1"/>
  </r>
  <r>
    <s v="USR-100804"/>
    <d v="2025-03-19T00:00:00"/>
    <x v="1"/>
    <s v="West"/>
    <x v="1"/>
    <x v="4"/>
    <s v="Free"/>
    <n v="0"/>
    <n v="0"/>
    <n v="0"/>
    <n v="0"/>
    <n v="0"/>
    <n v="2"/>
    <n v="0"/>
    <m/>
    <n v="44.3"/>
    <n v="1"/>
  </r>
  <r>
    <s v="USR-100805"/>
    <d v="2025-04-24T00:00:00"/>
    <x v="1"/>
    <s v="West"/>
    <x v="0"/>
    <x v="1"/>
    <s v="Free"/>
    <n v="1"/>
    <n v="1"/>
    <n v="1"/>
    <n v="1"/>
    <n v="402.88"/>
    <n v="0"/>
    <n v="0"/>
    <n v="12"/>
    <n v="76"/>
    <n v="1"/>
  </r>
  <r>
    <s v="USR-100806"/>
    <d v="2025-04-04T00:00:00"/>
    <x v="1"/>
    <s v="South"/>
    <x v="2"/>
    <x v="1"/>
    <s v="Free"/>
    <n v="1"/>
    <n v="0"/>
    <n v="0"/>
    <n v="0"/>
    <n v="0"/>
    <n v="2"/>
    <n v="0"/>
    <m/>
    <n v="65.3"/>
    <n v="1"/>
  </r>
  <r>
    <s v="USR-100807"/>
    <d v="2025-03-28T00:00:00"/>
    <x v="1"/>
    <s v="South"/>
    <x v="0"/>
    <x v="2"/>
    <s v="Premium"/>
    <n v="1"/>
    <n v="0"/>
    <n v="0"/>
    <n v="0"/>
    <n v="0"/>
    <n v="0"/>
    <n v="0"/>
    <m/>
    <n v="71.2"/>
    <n v="1"/>
  </r>
  <r>
    <s v="USR-100808"/>
    <d v="2025-05-15T00:00:00"/>
    <x v="1"/>
    <s v="South"/>
    <x v="2"/>
    <x v="2"/>
    <s v="Free"/>
    <n v="1"/>
    <n v="0"/>
    <n v="0"/>
    <n v="0"/>
    <n v="0"/>
    <n v="0"/>
    <n v="0"/>
    <m/>
    <n v="77.900000000000006"/>
    <n v="1"/>
  </r>
  <r>
    <s v="USR-100809"/>
    <d v="2025-03-13T00:00:00"/>
    <x v="1"/>
    <s v="West"/>
    <x v="1"/>
    <x v="2"/>
    <s v="Free"/>
    <n v="0"/>
    <n v="0"/>
    <n v="0"/>
    <n v="0"/>
    <n v="0"/>
    <n v="0"/>
    <n v="0"/>
    <m/>
    <n v="48.6"/>
    <n v="1"/>
  </r>
  <r>
    <s v="USR-100810"/>
    <d v="2025-03-26T00:00:00"/>
    <x v="1"/>
    <s v="North"/>
    <x v="1"/>
    <x v="4"/>
    <s v="Premium"/>
    <n v="1"/>
    <n v="0"/>
    <n v="0"/>
    <n v="0"/>
    <n v="0"/>
    <n v="0"/>
    <n v="0"/>
    <m/>
    <n v="61.9"/>
    <n v="1"/>
  </r>
  <r>
    <s v="USR-100811"/>
    <d v="2025-01-09T00:00:00"/>
    <x v="1"/>
    <s v="North"/>
    <x v="1"/>
    <x v="4"/>
    <s v="Basic"/>
    <n v="0"/>
    <n v="0"/>
    <n v="0"/>
    <n v="0"/>
    <n v="0"/>
    <n v="1"/>
    <n v="0"/>
    <m/>
    <n v="58.7"/>
    <n v="1"/>
  </r>
  <r>
    <s v="USR-100812"/>
    <d v="2025-05-06T00:00:00"/>
    <x v="1"/>
    <s v="South"/>
    <x v="0"/>
    <x v="2"/>
    <s v="Free"/>
    <n v="1"/>
    <n v="0"/>
    <n v="0"/>
    <n v="0"/>
    <n v="0"/>
    <n v="0"/>
    <n v="0"/>
    <m/>
    <n v="69.599999999999994"/>
    <n v="1"/>
  </r>
  <r>
    <s v="USR-100813"/>
    <d v="2025-02-17T00:00:00"/>
    <x v="1"/>
    <s v="South"/>
    <x v="1"/>
    <x v="1"/>
    <s v="Free"/>
    <n v="1"/>
    <n v="0"/>
    <n v="0"/>
    <n v="0"/>
    <n v="0"/>
    <n v="0"/>
    <n v="0"/>
    <m/>
    <n v="51.5"/>
    <n v="1"/>
  </r>
  <r>
    <s v="USR-100814"/>
    <d v="2025-04-05T00:00:00"/>
    <x v="1"/>
    <s v="East"/>
    <x v="1"/>
    <x v="2"/>
    <s v="Free"/>
    <n v="1"/>
    <n v="1"/>
    <n v="1"/>
    <n v="1"/>
    <n v="277.69"/>
    <n v="3"/>
    <n v="0"/>
    <n v="8"/>
    <n v="46"/>
    <n v="1"/>
  </r>
  <r>
    <s v="USR-100815"/>
    <d v="2025-04-13T00:00:00"/>
    <x v="1"/>
    <s v="West"/>
    <x v="2"/>
    <x v="1"/>
    <s v="Free"/>
    <n v="1"/>
    <n v="0"/>
    <n v="0"/>
    <n v="0"/>
    <n v="0"/>
    <n v="0"/>
    <n v="0"/>
    <m/>
    <n v="81.7"/>
    <n v="1"/>
  </r>
  <r>
    <s v="USR-100816"/>
    <d v="2025-05-20T00:00:00"/>
    <x v="1"/>
    <s v="East"/>
    <x v="0"/>
    <x v="3"/>
    <s v="Free"/>
    <n v="1"/>
    <n v="0"/>
    <n v="0"/>
    <n v="0"/>
    <n v="0"/>
    <n v="0"/>
    <n v="0"/>
    <m/>
    <n v="48.3"/>
    <n v="1"/>
  </r>
  <r>
    <s v="USR-100817"/>
    <d v="2025-03-31T00:00:00"/>
    <x v="1"/>
    <s v="East"/>
    <x v="1"/>
    <x v="0"/>
    <s v="Free"/>
    <n v="1"/>
    <n v="1"/>
    <n v="0"/>
    <n v="0"/>
    <n v="0"/>
    <n v="0"/>
    <n v="0"/>
    <m/>
    <n v="85.6"/>
    <n v="1"/>
  </r>
  <r>
    <s v="USR-100818"/>
    <d v="2025-04-03T00:00:00"/>
    <x v="1"/>
    <s v="West"/>
    <x v="2"/>
    <x v="2"/>
    <s v="Basic"/>
    <n v="1"/>
    <n v="0"/>
    <n v="0"/>
    <n v="0"/>
    <n v="0"/>
    <n v="0"/>
    <n v="0"/>
    <m/>
    <n v="53.8"/>
    <n v="1"/>
  </r>
  <r>
    <s v="USR-100819"/>
    <d v="2025-02-04T00:00:00"/>
    <x v="1"/>
    <s v="South"/>
    <x v="1"/>
    <x v="1"/>
    <s v="Free"/>
    <n v="1"/>
    <n v="1"/>
    <n v="1"/>
    <n v="1"/>
    <n v="460.83"/>
    <n v="2"/>
    <n v="0"/>
    <n v="0"/>
    <n v="69.7"/>
    <n v="1"/>
  </r>
  <r>
    <s v="USR-100820"/>
    <d v="2025-05-19T00:00:00"/>
    <x v="1"/>
    <s v="East"/>
    <x v="1"/>
    <x v="1"/>
    <s v="Free"/>
    <n v="1"/>
    <n v="0"/>
    <n v="0"/>
    <n v="0"/>
    <n v="0"/>
    <n v="0"/>
    <n v="0"/>
    <m/>
    <n v="74.8"/>
    <n v="1"/>
  </r>
  <r>
    <s v="USR-100821"/>
    <d v="2025-03-08T00:00:00"/>
    <x v="1"/>
    <s v="East"/>
    <x v="0"/>
    <x v="2"/>
    <s v="Basic"/>
    <n v="0"/>
    <n v="0"/>
    <n v="0"/>
    <n v="0"/>
    <n v="0"/>
    <n v="0"/>
    <n v="0"/>
    <m/>
    <n v="87.9"/>
    <n v="1"/>
  </r>
  <r>
    <s v="USR-100822"/>
    <d v="2025-05-10T00:00:00"/>
    <x v="1"/>
    <s v="North"/>
    <x v="1"/>
    <x v="4"/>
    <s v="Basic"/>
    <n v="1"/>
    <n v="0"/>
    <n v="0"/>
    <n v="0"/>
    <n v="0"/>
    <n v="1"/>
    <n v="0"/>
    <m/>
    <n v="49.1"/>
    <n v="1"/>
  </r>
  <r>
    <s v="USR-100823"/>
    <d v="2025-01-02T00:00:00"/>
    <x v="1"/>
    <s v="East"/>
    <x v="0"/>
    <x v="4"/>
    <s v="Basic"/>
    <n v="1"/>
    <n v="0"/>
    <n v="0"/>
    <n v="0"/>
    <n v="0"/>
    <n v="2"/>
    <n v="0"/>
    <m/>
    <n v="73"/>
    <n v="1"/>
  </r>
  <r>
    <s v="USR-100824"/>
    <d v="2025-01-17T00:00:00"/>
    <x v="1"/>
    <s v="West"/>
    <x v="1"/>
    <x v="1"/>
    <s v="Basic"/>
    <n v="0"/>
    <n v="0"/>
    <n v="0"/>
    <n v="0"/>
    <n v="0"/>
    <n v="0"/>
    <n v="0"/>
    <m/>
    <n v="79.5"/>
    <n v="1"/>
  </r>
  <r>
    <s v="USR-100825"/>
    <d v="2025-05-21T00:00:00"/>
    <x v="1"/>
    <s v="West"/>
    <x v="1"/>
    <x v="3"/>
    <s v="Basic"/>
    <n v="1"/>
    <n v="1"/>
    <n v="1"/>
    <n v="1"/>
    <n v="782.23"/>
    <n v="1"/>
    <n v="0"/>
    <n v="6"/>
    <n v="93.2"/>
    <n v="1"/>
  </r>
  <r>
    <s v="USR-100826"/>
    <d v="2025-05-25T00:00:00"/>
    <x v="1"/>
    <s v="East"/>
    <x v="0"/>
    <x v="3"/>
    <s v="Free"/>
    <n v="1"/>
    <n v="0"/>
    <n v="0"/>
    <n v="0"/>
    <n v="0"/>
    <n v="3"/>
    <n v="0"/>
    <m/>
    <n v="77.5"/>
    <n v="1"/>
  </r>
  <r>
    <s v="USR-100827"/>
    <d v="2025-01-05T00:00:00"/>
    <x v="1"/>
    <s v="West"/>
    <x v="1"/>
    <x v="0"/>
    <s v="Basic"/>
    <n v="1"/>
    <n v="0"/>
    <n v="0"/>
    <n v="0"/>
    <n v="0"/>
    <n v="0"/>
    <n v="0"/>
    <m/>
    <n v="61"/>
    <n v="1"/>
  </r>
  <r>
    <s v="USR-100828"/>
    <d v="2025-02-24T00:00:00"/>
    <x v="1"/>
    <s v="South"/>
    <x v="0"/>
    <x v="1"/>
    <s v="Free"/>
    <n v="1"/>
    <n v="1"/>
    <n v="0"/>
    <n v="0"/>
    <n v="0"/>
    <n v="0"/>
    <n v="0"/>
    <m/>
    <n v="64.900000000000006"/>
    <n v="1"/>
  </r>
  <r>
    <s v="USR-100829"/>
    <d v="2025-01-21T00:00:00"/>
    <x v="1"/>
    <s v="East"/>
    <x v="1"/>
    <x v="2"/>
    <s v="Basic"/>
    <n v="1"/>
    <n v="0"/>
    <n v="0"/>
    <n v="0"/>
    <n v="0"/>
    <n v="0"/>
    <n v="0"/>
    <m/>
    <n v="87.5"/>
    <n v="1"/>
  </r>
  <r>
    <s v="USR-100830"/>
    <d v="2025-04-24T00:00:00"/>
    <x v="1"/>
    <s v="North"/>
    <x v="1"/>
    <x v="1"/>
    <s v="Basic"/>
    <n v="1"/>
    <n v="1"/>
    <n v="1"/>
    <n v="1"/>
    <n v="1171.99"/>
    <n v="0"/>
    <n v="0"/>
    <n v="5"/>
    <n v="80.599999999999994"/>
    <n v="1"/>
  </r>
  <r>
    <s v="USR-100831"/>
    <d v="2025-01-07T00:00:00"/>
    <x v="1"/>
    <s v="West"/>
    <x v="0"/>
    <x v="1"/>
    <s v="Free"/>
    <n v="1"/>
    <n v="0"/>
    <n v="0"/>
    <n v="0"/>
    <n v="0"/>
    <n v="0"/>
    <n v="0"/>
    <m/>
    <n v="66.900000000000006"/>
    <n v="1"/>
  </r>
  <r>
    <s v="USR-100832"/>
    <d v="2025-05-31T00:00:00"/>
    <x v="1"/>
    <s v="South"/>
    <x v="2"/>
    <x v="1"/>
    <s v="Basic"/>
    <n v="1"/>
    <n v="1"/>
    <n v="1"/>
    <n v="0"/>
    <n v="0"/>
    <n v="0"/>
    <n v="0"/>
    <m/>
    <n v="58.8"/>
    <n v="1"/>
  </r>
  <r>
    <s v="USR-100833"/>
    <d v="2025-04-02T00:00:00"/>
    <x v="1"/>
    <s v="North"/>
    <x v="0"/>
    <x v="1"/>
    <s v="Basic"/>
    <n v="1"/>
    <n v="1"/>
    <n v="1"/>
    <n v="1"/>
    <n v="1010.4"/>
    <n v="0"/>
    <n v="0"/>
    <n v="4"/>
    <n v="42.9"/>
    <n v="1"/>
  </r>
  <r>
    <s v="USR-100834"/>
    <d v="2025-04-21T00:00:00"/>
    <x v="1"/>
    <s v="East"/>
    <x v="1"/>
    <x v="1"/>
    <s v="Free"/>
    <n v="1"/>
    <n v="1"/>
    <n v="1"/>
    <n v="0"/>
    <n v="0"/>
    <n v="1"/>
    <n v="0"/>
    <m/>
    <n v="60.2"/>
    <n v="1"/>
  </r>
  <r>
    <s v="USR-100835"/>
    <d v="2025-05-05T00:00:00"/>
    <x v="1"/>
    <s v="East"/>
    <x v="1"/>
    <x v="2"/>
    <s v="Basic"/>
    <n v="1"/>
    <n v="0"/>
    <n v="0"/>
    <n v="0"/>
    <n v="0"/>
    <n v="0"/>
    <n v="0"/>
    <m/>
    <n v="42.7"/>
    <n v="1"/>
  </r>
  <r>
    <s v="USR-100836"/>
    <d v="2025-01-06T00:00:00"/>
    <x v="1"/>
    <s v="North"/>
    <x v="0"/>
    <x v="4"/>
    <s v="Free"/>
    <n v="1"/>
    <n v="1"/>
    <n v="1"/>
    <n v="1"/>
    <n v="431.27"/>
    <n v="0"/>
    <n v="0"/>
    <n v="7"/>
    <n v="60.8"/>
    <n v="1"/>
  </r>
  <r>
    <s v="USR-100837"/>
    <d v="2025-04-24T00:00:00"/>
    <x v="1"/>
    <s v="South"/>
    <x v="1"/>
    <x v="3"/>
    <s v="Free"/>
    <n v="1"/>
    <n v="1"/>
    <n v="1"/>
    <n v="1"/>
    <n v="428.8"/>
    <n v="0"/>
    <n v="0"/>
    <n v="9"/>
    <n v="79.3"/>
    <n v="1"/>
  </r>
  <r>
    <s v="USR-100838"/>
    <d v="2025-04-21T00:00:00"/>
    <x v="1"/>
    <s v="South"/>
    <x v="1"/>
    <x v="1"/>
    <s v="Basic"/>
    <n v="1"/>
    <n v="0"/>
    <n v="0"/>
    <n v="0"/>
    <n v="0"/>
    <n v="1"/>
    <n v="0"/>
    <m/>
    <n v="88.6"/>
    <n v="1"/>
  </r>
  <r>
    <s v="USR-100839"/>
    <d v="2025-02-09T00:00:00"/>
    <x v="1"/>
    <s v="West"/>
    <x v="1"/>
    <x v="1"/>
    <s v="Basic"/>
    <n v="1"/>
    <n v="1"/>
    <n v="1"/>
    <n v="0"/>
    <n v="0"/>
    <n v="0"/>
    <n v="0"/>
    <m/>
    <n v="63.1"/>
    <n v="1"/>
  </r>
  <r>
    <s v="USR-100840"/>
    <d v="2025-01-09T00:00:00"/>
    <x v="1"/>
    <s v="East"/>
    <x v="1"/>
    <x v="1"/>
    <s v="Premium"/>
    <n v="1"/>
    <n v="0"/>
    <n v="0"/>
    <n v="0"/>
    <n v="0"/>
    <n v="0"/>
    <n v="0"/>
    <m/>
    <n v="39.700000000000003"/>
    <n v="1"/>
  </r>
  <r>
    <s v="USR-100841"/>
    <d v="2025-02-16T00:00:00"/>
    <x v="1"/>
    <s v="North"/>
    <x v="1"/>
    <x v="2"/>
    <s v="Basic"/>
    <n v="0"/>
    <n v="0"/>
    <n v="0"/>
    <n v="0"/>
    <n v="0"/>
    <n v="0"/>
    <n v="0"/>
    <m/>
    <n v="67.2"/>
    <n v="1"/>
  </r>
  <r>
    <s v="USR-100842"/>
    <d v="2025-02-21T00:00:00"/>
    <x v="1"/>
    <s v="South"/>
    <x v="1"/>
    <x v="1"/>
    <s v="Free"/>
    <n v="1"/>
    <n v="1"/>
    <n v="1"/>
    <n v="0"/>
    <n v="0"/>
    <n v="0"/>
    <n v="0"/>
    <m/>
    <n v="62.3"/>
    <n v="1"/>
  </r>
  <r>
    <s v="USR-100843"/>
    <d v="2025-02-08T00:00:00"/>
    <x v="1"/>
    <s v="South"/>
    <x v="1"/>
    <x v="1"/>
    <s v="Premium"/>
    <n v="1"/>
    <n v="0"/>
    <n v="0"/>
    <n v="0"/>
    <n v="0"/>
    <n v="0"/>
    <n v="0"/>
    <m/>
    <m/>
    <n v="1"/>
  </r>
  <r>
    <s v="USR-100844"/>
    <d v="2025-01-22T00:00:00"/>
    <x v="1"/>
    <s v="South"/>
    <x v="1"/>
    <x v="2"/>
    <s v="Premium"/>
    <n v="0"/>
    <n v="0"/>
    <n v="0"/>
    <n v="0"/>
    <n v="0"/>
    <n v="0"/>
    <n v="0"/>
    <m/>
    <n v="60.7"/>
    <n v="1"/>
  </r>
  <r>
    <s v="USR-100845"/>
    <d v="2025-04-01T00:00:00"/>
    <x v="1"/>
    <s v="West"/>
    <x v="1"/>
    <x v="1"/>
    <s v="Basic"/>
    <n v="1"/>
    <n v="0"/>
    <n v="0"/>
    <n v="0"/>
    <n v="0"/>
    <n v="0"/>
    <n v="0"/>
    <m/>
    <n v="61.5"/>
    <n v="1"/>
  </r>
  <r>
    <s v="USR-100846"/>
    <d v="2025-01-21T00:00:00"/>
    <x v="1"/>
    <s v="North"/>
    <x v="1"/>
    <x v="2"/>
    <s v="Basic"/>
    <n v="1"/>
    <n v="0"/>
    <n v="0"/>
    <n v="0"/>
    <n v="0"/>
    <n v="0"/>
    <n v="0"/>
    <m/>
    <n v="75"/>
    <n v="1"/>
  </r>
  <r>
    <s v="USR-100847"/>
    <d v="2025-01-02T00:00:00"/>
    <x v="1"/>
    <s v="East"/>
    <x v="0"/>
    <x v="1"/>
    <s v="Free"/>
    <n v="1"/>
    <n v="1"/>
    <n v="0"/>
    <n v="0"/>
    <n v="0"/>
    <n v="0"/>
    <n v="0"/>
    <m/>
    <n v="51.9"/>
    <n v="1"/>
  </r>
  <r>
    <s v="USR-100848"/>
    <d v="2025-05-12T00:00:00"/>
    <x v="1"/>
    <s v="South"/>
    <x v="0"/>
    <x v="2"/>
    <s v="Free"/>
    <n v="0"/>
    <n v="0"/>
    <n v="0"/>
    <n v="0"/>
    <n v="0"/>
    <n v="0"/>
    <n v="0"/>
    <m/>
    <n v="34.5"/>
    <n v="1"/>
  </r>
  <r>
    <s v="USR-100849"/>
    <d v="2025-03-05T00:00:00"/>
    <x v="1"/>
    <s v="South"/>
    <x v="1"/>
    <x v="4"/>
    <s v="Basic"/>
    <n v="0"/>
    <n v="0"/>
    <n v="0"/>
    <n v="0"/>
    <n v="0"/>
    <n v="0"/>
    <n v="0"/>
    <m/>
    <n v="54.5"/>
    <n v="1"/>
  </r>
  <r>
    <s v="USR-100850"/>
    <d v="2025-01-24T00:00:00"/>
    <x v="1"/>
    <s v="East"/>
    <x v="1"/>
    <x v="1"/>
    <s v="Free"/>
    <n v="0"/>
    <n v="0"/>
    <n v="0"/>
    <n v="0"/>
    <n v="0"/>
    <n v="0"/>
    <n v="0"/>
    <m/>
    <n v="46"/>
    <n v="1"/>
  </r>
  <r>
    <s v="USR-100851"/>
    <d v="2025-01-31T00:00:00"/>
    <x v="1"/>
    <s v="East"/>
    <x v="0"/>
    <x v="0"/>
    <s v="Free"/>
    <n v="1"/>
    <n v="1"/>
    <n v="1"/>
    <n v="0"/>
    <n v="0"/>
    <n v="0"/>
    <n v="0"/>
    <m/>
    <n v="88.4"/>
    <n v="1"/>
  </r>
  <r>
    <s v="USR-100852"/>
    <d v="2025-01-24T00:00:00"/>
    <x v="1"/>
    <s v="North"/>
    <x v="2"/>
    <x v="1"/>
    <s v="Basic"/>
    <n v="1"/>
    <n v="0"/>
    <n v="0"/>
    <n v="0"/>
    <n v="0"/>
    <n v="0"/>
    <n v="0"/>
    <m/>
    <n v="69.5"/>
    <n v="1"/>
  </r>
  <r>
    <s v="USR-100853"/>
    <d v="2025-02-14T00:00:00"/>
    <x v="1"/>
    <s v="North"/>
    <x v="0"/>
    <x v="3"/>
    <s v="Basic"/>
    <n v="1"/>
    <n v="1"/>
    <n v="1"/>
    <n v="0"/>
    <n v="0"/>
    <n v="0"/>
    <n v="0"/>
    <m/>
    <n v="74.2"/>
    <n v="1"/>
  </r>
  <r>
    <s v="USR-100854"/>
    <d v="2025-05-27T00:00:00"/>
    <x v="1"/>
    <s v="North"/>
    <x v="1"/>
    <x v="1"/>
    <s v="Free"/>
    <n v="1"/>
    <n v="1"/>
    <n v="1"/>
    <n v="0"/>
    <n v="0"/>
    <n v="0"/>
    <n v="0"/>
    <m/>
    <n v="72.099999999999994"/>
    <n v="1"/>
  </r>
  <r>
    <s v="USR-100855"/>
    <d v="2025-02-28T00:00:00"/>
    <x v="1"/>
    <s v="North"/>
    <x v="1"/>
    <x v="2"/>
    <s v="Free"/>
    <n v="1"/>
    <n v="1"/>
    <n v="1"/>
    <n v="1"/>
    <n v="398.33"/>
    <n v="0"/>
    <n v="0"/>
    <n v="5"/>
    <n v="85.1"/>
    <n v="1"/>
  </r>
  <r>
    <s v="USR-100856"/>
    <d v="2025-05-27T00:00:00"/>
    <x v="1"/>
    <s v="North"/>
    <x v="1"/>
    <x v="1"/>
    <s v="Basic"/>
    <n v="1"/>
    <n v="1"/>
    <n v="1"/>
    <n v="0"/>
    <n v="0"/>
    <n v="0"/>
    <n v="0"/>
    <m/>
    <n v="49.5"/>
    <n v="1"/>
  </r>
  <r>
    <s v="USR-100857"/>
    <d v="2025-05-17T00:00:00"/>
    <x v="1"/>
    <s v="South"/>
    <x v="1"/>
    <x v="2"/>
    <s v="Premium"/>
    <n v="0"/>
    <n v="0"/>
    <n v="0"/>
    <n v="0"/>
    <n v="0"/>
    <n v="1"/>
    <n v="0"/>
    <m/>
    <n v="79"/>
    <n v="1"/>
  </r>
  <r>
    <s v="USR-100858"/>
    <d v="2025-01-10T00:00:00"/>
    <x v="1"/>
    <s v="West"/>
    <x v="0"/>
    <x v="4"/>
    <s v="Free"/>
    <n v="0"/>
    <n v="0"/>
    <n v="0"/>
    <n v="0"/>
    <n v="0"/>
    <n v="0"/>
    <n v="0"/>
    <m/>
    <n v="71.8"/>
    <n v="1"/>
  </r>
  <r>
    <s v="USR-100859"/>
    <d v="2025-04-22T00:00:00"/>
    <x v="1"/>
    <s v="North"/>
    <x v="1"/>
    <x v="0"/>
    <s v="Basic"/>
    <n v="1"/>
    <n v="1"/>
    <n v="1"/>
    <n v="1"/>
    <n v="1117.54"/>
    <n v="0"/>
    <n v="0"/>
    <n v="6"/>
    <n v="60.4"/>
    <n v="1"/>
  </r>
  <r>
    <s v="USR-100860"/>
    <d v="2025-03-02T00:00:00"/>
    <x v="1"/>
    <s v="South"/>
    <x v="0"/>
    <x v="1"/>
    <s v="Basic"/>
    <n v="1"/>
    <n v="0"/>
    <n v="0"/>
    <n v="0"/>
    <n v="0"/>
    <n v="2"/>
    <n v="0"/>
    <m/>
    <n v="38.299999999999997"/>
    <n v="1"/>
  </r>
  <r>
    <s v="USR-100861"/>
    <d v="2025-03-23T00:00:00"/>
    <x v="1"/>
    <s v="East"/>
    <x v="1"/>
    <x v="2"/>
    <s v="Free"/>
    <n v="1"/>
    <n v="1"/>
    <n v="1"/>
    <n v="0"/>
    <n v="0"/>
    <n v="0"/>
    <n v="0"/>
    <m/>
    <n v="79.599999999999994"/>
    <n v="1"/>
  </r>
  <r>
    <s v="USR-100862"/>
    <d v="2025-02-12T00:00:00"/>
    <x v="1"/>
    <s v="East"/>
    <x v="1"/>
    <x v="0"/>
    <s v="Free"/>
    <n v="1"/>
    <n v="1"/>
    <n v="1"/>
    <n v="0"/>
    <n v="0"/>
    <n v="0"/>
    <n v="0"/>
    <m/>
    <n v="71.900000000000006"/>
    <n v="1"/>
  </r>
  <r>
    <s v="USR-100863"/>
    <d v="2025-05-03T00:00:00"/>
    <x v="1"/>
    <s v="South"/>
    <x v="1"/>
    <x v="3"/>
    <s v="Basic"/>
    <n v="1"/>
    <n v="0"/>
    <n v="0"/>
    <n v="0"/>
    <n v="0"/>
    <n v="0"/>
    <n v="0"/>
    <m/>
    <n v="54.6"/>
    <n v="1"/>
  </r>
  <r>
    <s v="USR-100864"/>
    <d v="2025-03-28T00:00:00"/>
    <x v="1"/>
    <s v="North"/>
    <x v="0"/>
    <x v="4"/>
    <s v="Free"/>
    <n v="1"/>
    <n v="0"/>
    <n v="0"/>
    <n v="0"/>
    <n v="0"/>
    <n v="3"/>
    <n v="0"/>
    <m/>
    <n v="49.3"/>
    <n v="1"/>
  </r>
  <r>
    <s v="USR-100865"/>
    <d v="2025-03-12T00:00:00"/>
    <x v="1"/>
    <s v="North"/>
    <x v="1"/>
    <x v="4"/>
    <s v="Basic"/>
    <n v="0"/>
    <n v="0"/>
    <n v="0"/>
    <n v="0"/>
    <n v="0"/>
    <n v="1"/>
    <n v="0"/>
    <m/>
    <n v="66.900000000000006"/>
    <n v="1"/>
  </r>
  <r>
    <s v="USR-100866"/>
    <d v="2025-04-27T00:00:00"/>
    <x v="1"/>
    <s v="East"/>
    <x v="1"/>
    <x v="2"/>
    <s v="Free"/>
    <n v="1"/>
    <n v="0"/>
    <n v="0"/>
    <n v="0"/>
    <n v="0"/>
    <n v="1"/>
    <n v="0"/>
    <m/>
    <n v="77.8"/>
    <n v="1"/>
  </r>
  <r>
    <s v="USR-100867"/>
    <d v="2025-04-02T00:00:00"/>
    <x v="1"/>
    <s v="South"/>
    <x v="1"/>
    <x v="3"/>
    <s v="Basic"/>
    <n v="1"/>
    <n v="0"/>
    <n v="0"/>
    <n v="0"/>
    <n v="0"/>
    <n v="0"/>
    <n v="0"/>
    <m/>
    <n v="63"/>
    <n v="1"/>
  </r>
  <r>
    <s v="USR-100868"/>
    <d v="2025-04-21T00:00:00"/>
    <x v="1"/>
    <s v="North"/>
    <x v="1"/>
    <x v="4"/>
    <s v="Free"/>
    <n v="0"/>
    <n v="0"/>
    <n v="0"/>
    <n v="0"/>
    <n v="0"/>
    <n v="0"/>
    <n v="0"/>
    <m/>
    <n v="79.8"/>
    <n v="1"/>
  </r>
  <r>
    <s v="USR-100869"/>
    <d v="2025-01-26T00:00:00"/>
    <x v="1"/>
    <s v="West"/>
    <x v="0"/>
    <x v="1"/>
    <s v="Basic"/>
    <n v="0"/>
    <n v="0"/>
    <n v="0"/>
    <n v="0"/>
    <n v="0"/>
    <n v="0"/>
    <n v="0"/>
    <m/>
    <n v="69.900000000000006"/>
    <n v="1"/>
  </r>
  <r>
    <s v="USR-100870"/>
    <d v="2025-01-06T00:00:00"/>
    <x v="1"/>
    <s v="West"/>
    <x v="1"/>
    <x v="1"/>
    <s v="Free"/>
    <n v="0"/>
    <n v="0"/>
    <n v="0"/>
    <n v="0"/>
    <n v="0"/>
    <n v="1"/>
    <n v="0"/>
    <m/>
    <n v="66.400000000000006"/>
    <n v="1"/>
  </r>
  <r>
    <s v="USR-100871"/>
    <d v="2025-02-07T00:00:00"/>
    <x v="1"/>
    <s v="East"/>
    <x v="1"/>
    <x v="1"/>
    <s v="Free"/>
    <n v="1"/>
    <n v="0"/>
    <n v="0"/>
    <n v="0"/>
    <n v="0"/>
    <n v="0"/>
    <n v="0"/>
    <m/>
    <n v="27.6"/>
    <n v="1"/>
  </r>
  <r>
    <s v="USR-100872"/>
    <d v="2025-05-07T00:00:00"/>
    <x v="1"/>
    <s v="West"/>
    <x v="1"/>
    <x v="1"/>
    <s v="Premium"/>
    <n v="1"/>
    <n v="0"/>
    <n v="0"/>
    <n v="0"/>
    <n v="0"/>
    <n v="1"/>
    <n v="0"/>
    <m/>
    <n v="56.5"/>
    <n v="1"/>
  </r>
  <r>
    <s v="USR-100873"/>
    <d v="2025-04-22T00:00:00"/>
    <x v="1"/>
    <s v="West"/>
    <x v="3"/>
    <x v="4"/>
    <s v="Free"/>
    <n v="1"/>
    <n v="0"/>
    <n v="0"/>
    <n v="0"/>
    <n v="0"/>
    <n v="0"/>
    <n v="0"/>
    <m/>
    <n v="67.8"/>
    <n v="1"/>
  </r>
  <r>
    <s v="USR-100874"/>
    <d v="2025-05-04T00:00:00"/>
    <x v="1"/>
    <s v="West"/>
    <x v="0"/>
    <x v="4"/>
    <s v="Free"/>
    <n v="1"/>
    <n v="0"/>
    <n v="0"/>
    <n v="0"/>
    <n v="0"/>
    <n v="0"/>
    <n v="0"/>
    <m/>
    <n v="80"/>
    <n v="1"/>
  </r>
  <r>
    <s v="USR-100875"/>
    <d v="2025-05-16T00:00:00"/>
    <x v="1"/>
    <s v="South"/>
    <x v="1"/>
    <x v="4"/>
    <s v="Basic"/>
    <n v="1"/>
    <n v="1"/>
    <n v="1"/>
    <n v="0"/>
    <n v="0"/>
    <n v="1"/>
    <n v="0"/>
    <m/>
    <n v="80.900000000000006"/>
    <n v="1"/>
  </r>
  <r>
    <s v="USR-100876"/>
    <d v="2025-02-11T00:00:00"/>
    <x v="1"/>
    <s v="West"/>
    <x v="1"/>
    <x v="2"/>
    <s v="Free"/>
    <n v="0"/>
    <n v="0"/>
    <n v="0"/>
    <n v="0"/>
    <n v="0"/>
    <n v="0"/>
    <n v="0"/>
    <m/>
    <n v="34.5"/>
    <n v="1"/>
  </r>
  <r>
    <s v="USR-100877"/>
    <d v="2025-05-09T00:00:00"/>
    <x v="1"/>
    <s v="East"/>
    <x v="0"/>
    <x v="1"/>
    <s v="Premium"/>
    <n v="1"/>
    <n v="0"/>
    <n v="0"/>
    <n v="0"/>
    <n v="0"/>
    <n v="0"/>
    <n v="0"/>
    <m/>
    <n v="73.5"/>
    <n v="1"/>
  </r>
  <r>
    <s v="USR-100878"/>
    <d v="2025-02-09T00:00:00"/>
    <x v="1"/>
    <s v="South"/>
    <x v="0"/>
    <x v="2"/>
    <s v="Free"/>
    <n v="1"/>
    <n v="1"/>
    <n v="0"/>
    <n v="0"/>
    <n v="0"/>
    <n v="0"/>
    <n v="0"/>
    <m/>
    <n v="70"/>
    <n v="1"/>
  </r>
  <r>
    <s v="USR-100879"/>
    <d v="2025-05-22T00:00:00"/>
    <x v="1"/>
    <s v="West"/>
    <x v="1"/>
    <x v="4"/>
    <s v="Basic"/>
    <n v="0"/>
    <n v="0"/>
    <n v="0"/>
    <n v="0"/>
    <n v="0"/>
    <n v="0"/>
    <n v="0"/>
    <m/>
    <n v="86.9"/>
    <n v="1"/>
  </r>
  <r>
    <s v="USR-100880"/>
    <d v="2025-05-24T00:00:00"/>
    <x v="1"/>
    <s v="East"/>
    <x v="1"/>
    <x v="4"/>
    <s v="Basic"/>
    <n v="0"/>
    <n v="0"/>
    <n v="0"/>
    <n v="0"/>
    <n v="0"/>
    <n v="0"/>
    <n v="0"/>
    <m/>
    <n v="66.900000000000006"/>
    <n v="1"/>
  </r>
  <r>
    <s v="USR-100881"/>
    <d v="2025-04-27T00:00:00"/>
    <x v="1"/>
    <s v="South"/>
    <x v="0"/>
    <x v="4"/>
    <s v="Basic"/>
    <n v="1"/>
    <n v="1"/>
    <n v="1"/>
    <n v="0"/>
    <n v="0"/>
    <n v="0"/>
    <n v="0"/>
    <m/>
    <n v="58.3"/>
    <n v="1"/>
  </r>
  <r>
    <s v="USR-100882"/>
    <d v="2025-03-19T00:00:00"/>
    <x v="1"/>
    <s v="East"/>
    <x v="1"/>
    <x v="2"/>
    <s v="Free"/>
    <n v="1"/>
    <n v="0"/>
    <n v="0"/>
    <n v="0"/>
    <n v="0"/>
    <n v="0"/>
    <n v="0"/>
    <m/>
    <n v="45"/>
    <n v="1"/>
  </r>
  <r>
    <s v="USR-100883"/>
    <d v="2025-05-20T00:00:00"/>
    <x v="1"/>
    <s v="South"/>
    <x v="1"/>
    <x v="1"/>
    <s v="Premium"/>
    <n v="0"/>
    <n v="0"/>
    <n v="0"/>
    <n v="0"/>
    <n v="0"/>
    <n v="0"/>
    <n v="0"/>
    <m/>
    <n v="60.8"/>
    <n v="1"/>
  </r>
  <r>
    <s v="USR-100884"/>
    <d v="2025-05-10T00:00:00"/>
    <x v="1"/>
    <s v="North"/>
    <x v="1"/>
    <x v="0"/>
    <s v="Premium"/>
    <n v="1"/>
    <n v="0"/>
    <n v="0"/>
    <n v="0"/>
    <n v="0"/>
    <n v="4"/>
    <n v="0"/>
    <m/>
    <n v="53.7"/>
    <n v="1"/>
  </r>
  <r>
    <s v="USR-100885"/>
    <d v="2025-03-29T00:00:00"/>
    <x v="1"/>
    <s v="East"/>
    <x v="1"/>
    <x v="4"/>
    <s v="Free"/>
    <n v="1"/>
    <n v="1"/>
    <n v="1"/>
    <n v="0"/>
    <n v="0"/>
    <n v="0"/>
    <n v="0"/>
    <m/>
    <n v="48.8"/>
    <n v="1"/>
  </r>
  <r>
    <s v="USR-100886"/>
    <d v="2025-04-03T00:00:00"/>
    <x v="1"/>
    <s v="West"/>
    <x v="0"/>
    <x v="3"/>
    <s v="Basic"/>
    <n v="0"/>
    <n v="0"/>
    <n v="0"/>
    <n v="0"/>
    <n v="0"/>
    <n v="0"/>
    <n v="0"/>
    <m/>
    <n v="52.9"/>
    <n v="1"/>
  </r>
  <r>
    <s v="USR-100887"/>
    <d v="2025-05-30T00:00:00"/>
    <x v="1"/>
    <s v="South"/>
    <x v="1"/>
    <x v="0"/>
    <s v="Free"/>
    <n v="1"/>
    <n v="0"/>
    <n v="0"/>
    <n v="0"/>
    <n v="0"/>
    <n v="0"/>
    <n v="0"/>
    <m/>
    <n v="42.4"/>
    <n v="1"/>
  </r>
  <r>
    <s v="USR-100888"/>
    <d v="2025-04-06T00:00:00"/>
    <x v="1"/>
    <s v="East"/>
    <x v="0"/>
    <x v="0"/>
    <s v="Free"/>
    <n v="1"/>
    <n v="0"/>
    <n v="0"/>
    <n v="0"/>
    <n v="0"/>
    <n v="0"/>
    <n v="0"/>
    <m/>
    <n v="58.7"/>
    <n v="1"/>
  </r>
  <r>
    <s v="USR-100889"/>
    <d v="2025-03-14T00:00:00"/>
    <x v="1"/>
    <s v="North"/>
    <x v="1"/>
    <x v="3"/>
    <s v="Free"/>
    <n v="1"/>
    <n v="1"/>
    <n v="1"/>
    <n v="1"/>
    <n v="2064.5500000000002"/>
    <n v="0"/>
    <n v="0"/>
    <n v="1"/>
    <n v="67.8"/>
    <n v="1"/>
  </r>
  <r>
    <s v="USR-100890"/>
    <d v="2025-02-24T00:00:00"/>
    <x v="1"/>
    <s v="South"/>
    <x v="0"/>
    <x v="2"/>
    <s v="Basic"/>
    <n v="1"/>
    <n v="0"/>
    <n v="0"/>
    <n v="0"/>
    <n v="0"/>
    <n v="0"/>
    <n v="0"/>
    <m/>
    <n v="62.6"/>
    <n v="1"/>
  </r>
  <r>
    <s v="USR-100891"/>
    <d v="2025-03-04T00:00:00"/>
    <x v="1"/>
    <s v="West"/>
    <x v="1"/>
    <x v="0"/>
    <s v="Basic"/>
    <n v="1"/>
    <n v="0"/>
    <n v="0"/>
    <n v="0"/>
    <n v="0"/>
    <n v="0"/>
    <n v="0"/>
    <m/>
    <n v="82.4"/>
    <n v="1"/>
  </r>
  <r>
    <s v="USR-100892"/>
    <d v="2025-04-02T00:00:00"/>
    <x v="1"/>
    <s v="North"/>
    <x v="1"/>
    <x v="1"/>
    <s v="Free"/>
    <n v="1"/>
    <n v="1"/>
    <n v="1"/>
    <n v="0"/>
    <n v="0"/>
    <n v="0"/>
    <n v="0"/>
    <m/>
    <n v="50.4"/>
    <n v="1"/>
  </r>
  <r>
    <s v="USR-100893"/>
    <d v="2025-05-11T00:00:00"/>
    <x v="1"/>
    <s v="North"/>
    <x v="1"/>
    <x v="0"/>
    <s v="Premium"/>
    <n v="0"/>
    <n v="0"/>
    <n v="0"/>
    <n v="0"/>
    <n v="0"/>
    <n v="0"/>
    <n v="0"/>
    <m/>
    <n v="68.400000000000006"/>
    <n v="1"/>
  </r>
  <r>
    <s v="USR-100894"/>
    <d v="2025-05-10T00:00:00"/>
    <x v="1"/>
    <s v="West"/>
    <x v="2"/>
    <x v="2"/>
    <s v="Basic"/>
    <n v="1"/>
    <n v="1"/>
    <n v="1"/>
    <n v="0"/>
    <n v="0"/>
    <n v="0"/>
    <n v="0"/>
    <m/>
    <n v="58.8"/>
    <n v="1"/>
  </r>
  <r>
    <s v="USR-100895"/>
    <d v="2025-05-06T00:00:00"/>
    <x v="1"/>
    <s v="West"/>
    <x v="1"/>
    <x v="3"/>
    <s v="Free"/>
    <n v="1"/>
    <n v="1"/>
    <n v="0"/>
    <n v="0"/>
    <n v="0"/>
    <n v="2"/>
    <n v="0"/>
    <m/>
    <n v="28.3"/>
    <n v="1"/>
  </r>
  <r>
    <s v="USR-100896"/>
    <d v="2025-02-11T00:00:00"/>
    <x v="1"/>
    <s v="West"/>
    <x v="0"/>
    <x v="2"/>
    <s v="Free"/>
    <n v="1"/>
    <n v="1"/>
    <n v="0"/>
    <n v="0"/>
    <n v="0"/>
    <n v="0"/>
    <n v="0"/>
    <m/>
    <n v="44.1"/>
    <n v="1"/>
  </r>
  <r>
    <s v="USR-100897"/>
    <d v="2025-05-09T00:00:00"/>
    <x v="1"/>
    <s v="South"/>
    <x v="1"/>
    <x v="2"/>
    <s v="Premium"/>
    <n v="1"/>
    <n v="1"/>
    <n v="0"/>
    <n v="0"/>
    <n v="0"/>
    <n v="0"/>
    <n v="0"/>
    <m/>
    <n v="66.7"/>
    <n v="1"/>
  </r>
  <r>
    <s v="USR-100898"/>
    <d v="2025-02-02T00:00:00"/>
    <x v="1"/>
    <s v="South"/>
    <x v="1"/>
    <x v="5"/>
    <s v="Free"/>
    <n v="1"/>
    <n v="0"/>
    <n v="0"/>
    <n v="0"/>
    <n v="0"/>
    <n v="0"/>
    <n v="0"/>
    <m/>
    <n v="100"/>
    <n v="1"/>
  </r>
  <r>
    <s v="USR-100899"/>
    <d v="2025-04-03T00:00:00"/>
    <x v="1"/>
    <s v="South"/>
    <x v="1"/>
    <x v="4"/>
    <s v="Free"/>
    <n v="1"/>
    <n v="1"/>
    <n v="0"/>
    <n v="0"/>
    <n v="0"/>
    <n v="0"/>
    <n v="0"/>
    <m/>
    <n v="87.5"/>
    <n v="1"/>
  </r>
  <r>
    <s v="USR-100900"/>
    <d v="2025-02-15T00:00:00"/>
    <x v="1"/>
    <s v="North"/>
    <x v="0"/>
    <x v="1"/>
    <s v="Basic"/>
    <n v="1"/>
    <n v="0"/>
    <n v="0"/>
    <n v="0"/>
    <n v="0"/>
    <n v="2"/>
    <n v="0"/>
    <m/>
    <n v="65.400000000000006"/>
    <n v="1"/>
  </r>
  <r>
    <s v="USR-100901"/>
    <d v="2025-04-18T00:00:00"/>
    <x v="1"/>
    <s v="South"/>
    <x v="0"/>
    <x v="1"/>
    <s v="Free"/>
    <n v="1"/>
    <n v="0"/>
    <n v="0"/>
    <n v="0"/>
    <n v="0"/>
    <n v="0"/>
    <n v="0"/>
    <m/>
    <n v="22.9"/>
    <n v="1"/>
  </r>
  <r>
    <s v="USR-100902"/>
    <d v="2025-03-14T00:00:00"/>
    <x v="1"/>
    <s v="West"/>
    <x v="0"/>
    <x v="1"/>
    <s v="Premium"/>
    <n v="0"/>
    <n v="0"/>
    <n v="0"/>
    <n v="0"/>
    <n v="0"/>
    <n v="0"/>
    <n v="0"/>
    <m/>
    <n v="64.599999999999994"/>
    <n v="1"/>
  </r>
  <r>
    <s v="USR-100903"/>
    <d v="2025-03-29T00:00:00"/>
    <x v="1"/>
    <s v="South"/>
    <x v="1"/>
    <x v="3"/>
    <s v="Free"/>
    <n v="1"/>
    <n v="0"/>
    <n v="0"/>
    <n v="0"/>
    <n v="0"/>
    <n v="2"/>
    <n v="0"/>
    <m/>
    <n v="54.4"/>
    <n v="1"/>
  </r>
  <r>
    <s v="USR-100904"/>
    <d v="2025-02-13T00:00:00"/>
    <x v="1"/>
    <s v="North"/>
    <x v="0"/>
    <x v="1"/>
    <s v="Free"/>
    <n v="1"/>
    <n v="1"/>
    <n v="1"/>
    <n v="0"/>
    <n v="0"/>
    <n v="0"/>
    <n v="0"/>
    <m/>
    <n v="56.8"/>
    <n v="1"/>
  </r>
  <r>
    <s v="USR-100905"/>
    <d v="2025-01-23T00:00:00"/>
    <x v="1"/>
    <s v="South"/>
    <x v="1"/>
    <x v="2"/>
    <s v="Free"/>
    <n v="1"/>
    <n v="1"/>
    <n v="1"/>
    <n v="1"/>
    <n v="341.38"/>
    <n v="0"/>
    <n v="0"/>
    <n v="2"/>
    <n v="63.6"/>
    <n v="1"/>
  </r>
  <r>
    <s v="USR-100906"/>
    <d v="2025-02-24T00:00:00"/>
    <x v="1"/>
    <s v="East"/>
    <x v="1"/>
    <x v="4"/>
    <s v="Free"/>
    <n v="1"/>
    <n v="0"/>
    <n v="0"/>
    <n v="0"/>
    <n v="0"/>
    <n v="0"/>
    <n v="0"/>
    <m/>
    <n v="58.2"/>
    <n v="1"/>
  </r>
  <r>
    <s v="USR-100907"/>
    <d v="2025-02-28T00:00:00"/>
    <x v="1"/>
    <s v="West"/>
    <x v="1"/>
    <x v="2"/>
    <s v="Free"/>
    <n v="1"/>
    <n v="1"/>
    <n v="0"/>
    <n v="0"/>
    <n v="0"/>
    <n v="0"/>
    <n v="0"/>
    <m/>
    <n v="54.6"/>
    <n v="1"/>
  </r>
  <r>
    <s v="USR-100908"/>
    <d v="2025-01-07T00:00:00"/>
    <x v="1"/>
    <s v="West"/>
    <x v="2"/>
    <x v="1"/>
    <s v="Basic"/>
    <n v="1"/>
    <n v="0"/>
    <n v="0"/>
    <n v="0"/>
    <n v="0"/>
    <n v="0"/>
    <n v="0"/>
    <m/>
    <n v="81.900000000000006"/>
    <n v="1"/>
  </r>
  <r>
    <s v="USR-100909"/>
    <d v="2025-03-21T00:00:00"/>
    <x v="1"/>
    <s v="West"/>
    <x v="0"/>
    <x v="0"/>
    <s v="Free"/>
    <n v="1"/>
    <n v="0"/>
    <n v="0"/>
    <n v="0"/>
    <n v="0"/>
    <n v="3"/>
    <n v="0"/>
    <m/>
    <n v="53.3"/>
    <n v="1"/>
  </r>
  <r>
    <s v="USR-100910"/>
    <d v="2025-02-18T00:00:00"/>
    <x v="1"/>
    <s v="North"/>
    <x v="0"/>
    <x v="1"/>
    <s v="Basic"/>
    <n v="0"/>
    <n v="0"/>
    <n v="0"/>
    <n v="0"/>
    <n v="0"/>
    <n v="0"/>
    <n v="0"/>
    <m/>
    <n v="54.2"/>
    <n v="1"/>
  </r>
  <r>
    <s v="USR-100911"/>
    <d v="2025-01-05T00:00:00"/>
    <x v="1"/>
    <s v="North"/>
    <x v="1"/>
    <x v="2"/>
    <s v="Free"/>
    <n v="1"/>
    <n v="1"/>
    <n v="0"/>
    <n v="0"/>
    <n v="0"/>
    <n v="0"/>
    <n v="0"/>
    <m/>
    <n v="65.599999999999994"/>
    <n v="1"/>
  </r>
  <r>
    <s v="USR-100912"/>
    <d v="2025-03-11T00:00:00"/>
    <x v="1"/>
    <s v="East"/>
    <x v="0"/>
    <x v="1"/>
    <s v="Basic"/>
    <n v="1"/>
    <n v="0"/>
    <n v="0"/>
    <n v="0"/>
    <n v="0"/>
    <n v="1"/>
    <n v="0"/>
    <m/>
    <n v="56.5"/>
    <n v="1"/>
  </r>
  <r>
    <s v="USR-100913"/>
    <d v="2025-01-09T00:00:00"/>
    <x v="1"/>
    <s v="North"/>
    <x v="0"/>
    <x v="1"/>
    <s v="Basic"/>
    <n v="1"/>
    <n v="0"/>
    <n v="0"/>
    <n v="0"/>
    <n v="0"/>
    <n v="0"/>
    <n v="0"/>
    <m/>
    <n v="59.7"/>
    <n v="1"/>
  </r>
  <r>
    <s v="USR-100914"/>
    <d v="2025-01-08T00:00:00"/>
    <x v="1"/>
    <s v="South"/>
    <x v="1"/>
    <x v="1"/>
    <s v="Free"/>
    <n v="1"/>
    <n v="1"/>
    <n v="1"/>
    <n v="0"/>
    <n v="0"/>
    <n v="0"/>
    <n v="0"/>
    <m/>
    <n v="72.5"/>
    <n v="1"/>
  </r>
  <r>
    <s v="USR-100915"/>
    <d v="2025-05-01T00:00:00"/>
    <x v="1"/>
    <s v="East"/>
    <x v="0"/>
    <x v="2"/>
    <s v="Free"/>
    <n v="1"/>
    <n v="0"/>
    <n v="0"/>
    <n v="0"/>
    <n v="0"/>
    <n v="0"/>
    <n v="0"/>
    <m/>
    <n v="64.3"/>
    <n v="1"/>
  </r>
  <r>
    <s v="USR-100916"/>
    <d v="2025-03-03T00:00:00"/>
    <x v="1"/>
    <s v="South"/>
    <x v="1"/>
    <x v="4"/>
    <s v="Free"/>
    <n v="1"/>
    <n v="0"/>
    <n v="0"/>
    <n v="0"/>
    <n v="0"/>
    <n v="0"/>
    <n v="0"/>
    <m/>
    <n v="64.5"/>
    <n v="1"/>
  </r>
  <r>
    <s v="USR-100917"/>
    <d v="2025-02-23T00:00:00"/>
    <x v="1"/>
    <s v="West"/>
    <x v="0"/>
    <x v="4"/>
    <s v="Basic"/>
    <n v="1"/>
    <n v="1"/>
    <n v="1"/>
    <n v="0"/>
    <n v="0"/>
    <n v="0"/>
    <n v="0"/>
    <m/>
    <n v="70.599999999999994"/>
    <n v="1"/>
  </r>
  <r>
    <s v="USR-100918"/>
    <d v="2025-02-17T00:00:00"/>
    <x v="1"/>
    <s v="South"/>
    <x v="0"/>
    <x v="1"/>
    <s v="Basic"/>
    <n v="0"/>
    <n v="0"/>
    <n v="0"/>
    <n v="0"/>
    <n v="0"/>
    <n v="0"/>
    <n v="0"/>
    <m/>
    <n v="58.4"/>
    <n v="1"/>
  </r>
  <r>
    <s v="USR-100919"/>
    <d v="2025-05-21T00:00:00"/>
    <x v="1"/>
    <s v="East"/>
    <x v="1"/>
    <x v="1"/>
    <s v="Basic"/>
    <n v="1"/>
    <n v="0"/>
    <n v="0"/>
    <n v="0"/>
    <n v="0"/>
    <n v="0"/>
    <n v="0"/>
    <m/>
    <n v="56.6"/>
    <n v="1"/>
  </r>
  <r>
    <s v="USR-100920"/>
    <d v="2025-01-30T00:00:00"/>
    <x v="1"/>
    <s v="South"/>
    <x v="1"/>
    <x v="1"/>
    <s v="Free"/>
    <n v="1"/>
    <n v="0"/>
    <n v="0"/>
    <n v="0"/>
    <n v="0"/>
    <n v="0"/>
    <n v="0"/>
    <m/>
    <n v="61.8"/>
    <n v="1"/>
  </r>
  <r>
    <s v="USR-100921"/>
    <d v="2025-03-20T00:00:00"/>
    <x v="1"/>
    <s v="West"/>
    <x v="1"/>
    <x v="0"/>
    <s v="Free"/>
    <n v="1"/>
    <n v="1"/>
    <n v="1"/>
    <n v="1"/>
    <n v="513.52"/>
    <n v="0"/>
    <n v="0"/>
    <n v="8"/>
    <n v="43.4"/>
    <n v="1"/>
  </r>
  <r>
    <s v="USR-100922"/>
    <d v="2025-04-10T00:00:00"/>
    <x v="1"/>
    <s v="West"/>
    <x v="2"/>
    <x v="2"/>
    <s v="Free"/>
    <n v="0"/>
    <n v="0"/>
    <n v="0"/>
    <n v="0"/>
    <n v="0"/>
    <n v="0"/>
    <n v="0"/>
    <m/>
    <n v="43"/>
    <n v="1"/>
  </r>
  <r>
    <s v="USR-100923"/>
    <d v="2025-03-07T00:00:00"/>
    <x v="1"/>
    <s v="North"/>
    <x v="0"/>
    <x v="1"/>
    <s v="Free"/>
    <n v="1"/>
    <n v="1"/>
    <n v="1"/>
    <n v="0"/>
    <n v="0"/>
    <n v="0"/>
    <n v="0"/>
    <m/>
    <n v="51.1"/>
    <n v="1"/>
  </r>
  <r>
    <s v="USR-100924"/>
    <d v="2025-03-12T00:00:00"/>
    <x v="1"/>
    <s v="West"/>
    <x v="1"/>
    <x v="0"/>
    <s v="Basic"/>
    <n v="1"/>
    <n v="0"/>
    <n v="0"/>
    <n v="0"/>
    <n v="0"/>
    <n v="0"/>
    <n v="0"/>
    <m/>
    <n v="48.8"/>
    <n v="1"/>
  </r>
  <r>
    <s v="USR-100925"/>
    <d v="2025-02-24T00:00:00"/>
    <x v="1"/>
    <s v="East"/>
    <x v="1"/>
    <x v="3"/>
    <s v="Free"/>
    <n v="0"/>
    <n v="0"/>
    <n v="0"/>
    <n v="0"/>
    <n v="0"/>
    <n v="0"/>
    <n v="0"/>
    <m/>
    <n v="73.2"/>
    <n v="1"/>
  </r>
  <r>
    <s v="USR-100926"/>
    <d v="2025-01-15T00:00:00"/>
    <x v="1"/>
    <s v="East"/>
    <x v="1"/>
    <x v="3"/>
    <s v="Free"/>
    <n v="1"/>
    <n v="1"/>
    <n v="1"/>
    <n v="0"/>
    <n v="0"/>
    <n v="0"/>
    <n v="0"/>
    <m/>
    <n v="80"/>
    <n v="1"/>
  </r>
  <r>
    <s v="USR-100927"/>
    <d v="2025-01-07T00:00:00"/>
    <x v="1"/>
    <s v="North"/>
    <x v="0"/>
    <x v="2"/>
    <s v="Free"/>
    <n v="1"/>
    <n v="0"/>
    <n v="0"/>
    <n v="0"/>
    <n v="0"/>
    <n v="0"/>
    <n v="0"/>
    <m/>
    <n v="52.3"/>
    <n v="1"/>
  </r>
  <r>
    <s v="USR-100928"/>
    <d v="2025-03-02T00:00:00"/>
    <x v="1"/>
    <s v="North"/>
    <x v="0"/>
    <x v="1"/>
    <s v="Free"/>
    <n v="0"/>
    <n v="0"/>
    <n v="0"/>
    <n v="0"/>
    <n v="0"/>
    <n v="0"/>
    <n v="0"/>
    <m/>
    <n v="49.1"/>
    <n v="1"/>
  </r>
  <r>
    <s v="USR-100929"/>
    <d v="2025-01-05T00:00:00"/>
    <x v="1"/>
    <s v="South"/>
    <x v="0"/>
    <x v="3"/>
    <s v="Basic"/>
    <n v="0"/>
    <n v="0"/>
    <n v="0"/>
    <n v="0"/>
    <n v="0"/>
    <n v="0"/>
    <n v="0"/>
    <m/>
    <n v="45.3"/>
    <n v="1"/>
  </r>
  <r>
    <s v="USR-100930"/>
    <d v="2025-03-03T00:00:00"/>
    <x v="1"/>
    <s v="South"/>
    <x v="1"/>
    <x v="1"/>
    <s v="Free"/>
    <n v="1"/>
    <n v="1"/>
    <n v="0"/>
    <n v="0"/>
    <n v="0"/>
    <n v="0"/>
    <n v="0"/>
    <m/>
    <n v="49.1"/>
    <n v="1"/>
  </r>
  <r>
    <s v="USR-100931"/>
    <d v="2025-03-31T00:00:00"/>
    <x v="1"/>
    <s v="East"/>
    <x v="0"/>
    <x v="3"/>
    <s v="Free"/>
    <n v="1"/>
    <n v="1"/>
    <n v="1"/>
    <n v="1"/>
    <n v="476.44"/>
    <n v="0"/>
    <n v="0"/>
    <n v="3"/>
    <n v="88.6"/>
    <n v="1"/>
  </r>
  <r>
    <s v="USR-100932"/>
    <d v="2025-01-14T00:00:00"/>
    <x v="1"/>
    <s v="East"/>
    <x v="0"/>
    <x v="2"/>
    <s v="Premium"/>
    <n v="0"/>
    <n v="0"/>
    <n v="0"/>
    <n v="0"/>
    <n v="0"/>
    <n v="1"/>
    <n v="0"/>
    <m/>
    <n v="54.4"/>
    <n v="1"/>
  </r>
  <r>
    <s v="USR-100933"/>
    <d v="2025-01-15T00:00:00"/>
    <x v="1"/>
    <s v="West"/>
    <x v="0"/>
    <x v="2"/>
    <s v="Premium"/>
    <n v="1"/>
    <n v="0"/>
    <n v="0"/>
    <n v="0"/>
    <n v="0"/>
    <n v="0"/>
    <n v="0"/>
    <m/>
    <n v="72.900000000000006"/>
    <n v="1"/>
  </r>
  <r>
    <s v="USR-100934"/>
    <d v="2025-04-25T00:00:00"/>
    <x v="1"/>
    <s v="West"/>
    <x v="0"/>
    <x v="1"/>
    <s v="Free"/>
    <n v="1"/>
    <n v="0"/>
    <n v="0"/>
    <n v="0"/>
    <n v="0"/>
    <n v="0"/>
    <n v="0"/>
    <m/>
    <n v="53.2"/>
    <n v="1"/>
  </r>
  <r>
    <s v="USR-100935"/>
    <d v="2025-03-21T00:00:00"/>
    <x v="1"/>
    <s v="East"/>
    <x v="1"/>
    <x v="1"/>
    <s v="Basic"/>
    <n v="1"/>
    <n v="1"/>
    <n v="0"/>
    <n v="0"/>
    <n v="0"/>
    <n v="0"/>
    <n v="0"/>
    <m/>
    <n v="48.7"/>
    <n v="1"/>
  </r>
  <r>
    <s v="USR-100936"/>
    <d v="2025-04-26T00:00:00"/>
    <x v="1"/>
    <s v="South"/>
    <x v="1"/>
    <x v="2"/>
    <s v="Basic"/>
    <n v="1"/>
    <n v="1"/>
    <n v="1"/>
    <n v="0"/>
    <n v="0"/>
    <n v="0"/>
    <n v="0"/>
    <m/>
    <n v="59.9"/>
    <n v="1"/>
  </r>
  <r>
    <s v="USR-100937"/>
    <d v="2025-05-21T00:00:00"/>
    <x v="1"/>
    <s v="South"/>
    <x v="0"/>
    <x v="5"/>
    <s v="Basic"/>
    <n v="0"/>
    <n v="0"/>
    <n v="0"/>
    <n v="0"/>
    <n v="0"/>
    <n v="0"/>
    <n v="0"/>
    <m/>
    <n v="82"/>
    <n v="1"/>
  </r>
  <r>
    <s v="USR-100938"/>
    <d v="2025-04-18T00:00:00"/>
    <x v="1"/>
    <s v="East"/>
    <x v="1"/>
    <x v="2"/>
    <s v="Free"/>
    <n v="0"/>
    <n v="0"/>
    <n v="0"/>
    <n v="0"/>
    <n v="0"/>
    <n v="0"/>
    <n v="0"/>
    <m/>
    <n v="72.099999999999994"/>
    <n v="1"/>
  </r>
  <r>
    <s v="USR-100939"/>
    <d v="2025-01-29T00:00:00"/>
    <x v="1"/>
    <s v="North"/>
    <x v="0"/>
    <x v="0"/>
    <s v="Premium"/>
    <n v="1"/>
    <n v="1"/>
    <n v="0"/>
    <n v="0"/>
    <n v="0"/>
    <n v="0"/>
    <n v="0"/>
    <m/>
    <n v="68.3"/>
    <n v="1"/>
  </r>
  <r>
    <s v="USR-100940"/>
    <d v="2025-05-28T00:00:00"/>
    <x v="1"/>
    <s v="West"/>
    <x v="1"/>
    <x v="1"/>
    <s v="Premium"/>
    <n v="0"/>
    <n v="0"/>
    <n v="0"/>
    <n v="0"/>
    <n v="0"/>
    <n v="0"/>
    <n v="0"/>
    <m/>
    <n v="100"/>
    <n v="1"/>
  </r>
  <r>
    <s v="USR-100941"/>
    <d v="2025-01-15T00:00:00"/>
    <x v="1"/>
    <s v="East"/>
    <x v="1"/>
    <x v="0"/>
    <s v="Free"/>
    <n v="1"/>
    <n v="1"/>
    <n v="1"/>
    <n v="0"/>
    <n v="0"/>
    <n v="2"/>
    <n v="0"/>
    <m/>
    <n v="76.5"/>
    <n v="1"/>
  </r>
  <r>
    <s v="USR-100942"/>
    <d v="2025-01-03T00:00:00"/>
    <x v="1"/>
    <s v="South"/>
    <x v="1"/>
    <x v="1"/>
    <s v="Basic"/>
    <n v="1"/>
    <n v="1"/>
    <n v="0"/>
    <n v="0"/>
    <n v="0"/>
    <n v="0"/>
    <n v="0"/>
    <m/>
    <n v="62"/>
    <n v="1"/>
  </r>
  <r>
    <s v="USR-100943"/>
    <d v="2025-02-04T00:00:00"/>
    <x v="1"/>
    <s v="South"/>
    <x v="1"/>
    <x v="2"/>
    <s v="Free"/>
    <n v="1"/>
    <n v="1"/>
    <n v="1"/>
    <n v="1"/>
    <n v="324.68"/>
    <n v="1"/>
    <n v="0"/>
    <n v="7"/>
    <n v="50.1"/>
    <n v="1"/>
  </r>
  <r>
    <s v="USR-100944"/>
    <d v="2025-02-22T00:00:00"/>
    <x v="1"/>
    <s v="South"/>
    <x v="1"/>
    <x v="3"/>
    <s v="Premium"/>
    <n v="1"/>
    <n v="0"/>
    <n v="0"/>
    <n v="0"/>
    <n v="0"/>
    <n v="0"/>
    <n v="0"/>
    <m/>
    <n v="62.1"/>
    <n v="1"/>
  </r>
  <r>
    <s v="USR-100945"/>
    <d v="2025-05-06T00:00:00"/>
    <x v="1"/>
    <s v="West"/>
    <x v="1"/>
    <x v="1"/>
    <s v="Basic"/>
    <n v="1"/>
    <n v="0"/>
    <n v="0"/>
    <n v="0"/>
    <n v="0"/>
    <n v="0"/>
    <n v="0"/>
    <m/>
    <n v="49.7"/>
    <n v="1"/>
  </r>
  <r>
    <s v="USR-100946"/>
    <d v="2025-01-31T00:00:00"/>
    <x v="1"/>
    <s v="South"/>
    <x v="1"/>
    <x v="1"/>
    <s v="Free"/>
    <n v="1"/>
    <n v="0"/>
    <n v="0"/>
    <n v="0"/>
    <n v="0"/>
    <n v="3"/>
    <n v="0"/>
    <m/>
    <n v="71.099999999999994"/>
    <n v="1"/>
  </r>
  <r>
    <s v="USR-100947"/>
    <d v="2025-02-18T00:00:00"/>
    <x v="1"/>
    <s v="North"/>
    <x v="1"/>
    <x v="4"/>
    <s v="Basic"/>
    <n v="0"/>
    <n v="0"/>
    <n v="0"/>
    <n v="0"/>
    <n v="0"/>
    <n v="0"/>
    <n v="0"/>
    <m/>
    <n v="70.8"/>
    <n v="1"/>
  </r>
  <r>
    <s v="USR-100948"/>
    <d v="2025-04-23T00:00:00"/>
    <x v="1"/>
    <s v="East"/>
    <x v="1"/>
    <x v="2"/>
    <s v="Free"/>
    <n v="1"/>
    <n v="1"/>
    <n v="1"/>
    <n v="1"/>
    <n v="301.98"/>
    <n v="0"/>
    <n v="0"/>
    <n v="10"/>
    <n v="52.2"/>
    <n v="1"/>
  </r>
  <r>
    <s v="USR-100949"/>
    <d v="2025-02-06T00:00:00"/>
    <x v="1"/>
    <s v="North"/>
    <x v="1"/>
    <x v="1"/>
    <s v="Free"/>
    <n v="1"/>
    <n v="1"/>
    <n v="1"/>
    <n v="0"/>
    <n v="0"/>
    <n v="0"/>
    <n v="0"/>
    <m/>
    <n v="73"/>
    <n v="1"/>
  </r>
  <r>
    <s v="USR-100950"/>
    <d v="2025-04-26T00:00:00"/>
    <x v="1"/>
    <s v="South"/>
    <x v="0"/>
    <x v="2"/>
    <s v="Free"/>
    <n v="0"/>
    <n v="0"/>
    <n v="0"/>
    <n v="0"/>
    <n v="0"/>
    <n v="0"/>
    <n v="0"/>
    <m/>
    <n v="78.2"/>
    <n v="1"/>
  </r>
  <r>
    <s v="USR-100951"/>
    <d v="2025-03-30T00:00:00"/>
    <x v="1"/>
    <s v="West"/>
    <x v="0"/>
    <x v="2"/>
    <s v="Basic"/>
    <n v="1"/>
    <n v="0"/>
    <n v="0"/>
    <n v="0"/>
    <n v="0"/>
    <n v="0"/>
    <n v="0"/>
    <m/>
    <n v="68.8"/>
    <n v="1"/>
  </r>
  <r>
    <s v="USR-100952"/>
    <d v="2025-04-13T00:00:00"/>
    <x v="1"/>
    <s v="West"/>
    <x v="1"/>
    <x v="5"/>
    <s v="Premium"/>
    <n v="1"/>
    <n v="0"/>
    <n v="0"/>
    <n v="0"/>
    <n v="0"/>
    <n v="0"/>
    <n v="0"/>
    <m/>
    <n v="57.1"/>
    <n v="1"/>
  </r>
  <r>
    <s v="USR-100953"/>
    <d v="2025-04-04T00:00:00"/>
    <x v="1"/>
    <s v="East"/>
    <x v="0"/>
    <x v="1"/>
    <s v="Premium"/>
    <n v="0"/>
    <n v="0"/>
    <n v="0"/>
    <n v="0"/>
    <n v="0"/>
    <n v="1"/>
    <n v="0"/>
    <m/>
    <n v="74.599999999999994"/>
    <n v="1"/>
  </r>
  <r>
    <s v="USR-100954"/>
    <d v="2025-04-03T00:00:00"/>
    <x v="1"/>
    <s v="North"/>
    <x v="0"/>
    <x v="3"/>
    <s v="Free"/>
    <n v="1"/>
    <n v="0"/>
    <n v="0"/>
    <n v="0"/>
    <n v="0"/>
    <n v="1"/>
    <n v="0"/>
    <m/>
    <n v="64.099999999999994"/>
    <n v="1"/>
  </r>
  <r>
    <s v="USR-100955"/>
    <d v="2025-03-14T00:00:00"/>
    <x v="1"/>
    <s v="West"/>
    <x v="1"/>
    <x v="2"/>
    <s v="Premium"/>
    <n v="1"/>
    <n v="0"/>
    <n v="0"/>
    <n v="0"/>
    <n v="0"/>
    <n v="0"/>
    <n v="0"/>
    <m/>
    <n v="67.3"/>
    <n v="1"/>
  </r>
  <r>
    <s v="USR-100956"/>
    <d v="2025-01-14T00:00:00"/>
    <x v="1"/>
    <s v="West"/>
    <x v="1"/>
    <x v="3"/>
    <s v="Free"/>
    <n v="0"/>
    <n v="0"/>
    <n v="0"/>
    <n v="0"/>
    <n v="0"/>
    <n v="2"/>
    <n v="0"/>
    <m/>
    <n v="41"/>
    <n v="1"/>
  </r>
  <r>
    <s v="USR-100957"/>
    <d v="2025-05-05T00:00:00"/>
    <x v="1"/>
    <s v="West"/>
    <x v="1"/>
    <x v="2"/>
    <s v="Free"/>
    <n v="0"/>
    <n v="0"/>
    <n v="0"/>
    <n v="0"/>
    <n v="0"/>
    <n v="0"/>
    <n v="0"/>
    <m/>
    <n v="48.1"/>
    <n v="1"/>
  </r>
  <r>
    <s v="USR-100958"/>
    <d v="2025-05-02T00:00:00"/>
    <x v="1"/>
    <s v="West"/>
    <x v="0"/>
    <x v="4"/>
    <s v="Free"/>
    <n v="0"/>
    <n v="0"/>
    <n v="0"/>
    <n v="0"/>
    <n v="0"/>
    <n v="1"/>
    <n v="0"/>
    <m/>
    <n v="60.8"/>
    <n v="1"/>
  </r>
  <r>
    <s v="USR-100959"/>
    <d v="2025-05-21T00:00:00"/>
    <x v="1"/>
    <s v="East"/>
    <x v="1"/>
    <x v="1"/>
    <s v="Free"/>
    <n v="1"/>
    <n v="0"/>
    <n v="0"/>
    <n v="0"/>
    <n v="0"/>
    <n v="0"/>
    <n v="0"/>
    <m/>
    <n v="63.1"/>
    <n v="1"/>
  </r>
  <r>
    <s v="USR-100960"/>
    <d v="2025-05-16T00:00:00"/>
    <x v="1"/>
    <s v="North"/>
    <x v="1"/>
    <x v="3"/>
    <s v="Premium"/>
    <n v="1"/>
    <n v="0"/>
    <n v="0"/>
    <n v="0"/>
    <n v="0"/>
    <n v="2"/>
    <n v="0"/>
    <m/>
    <n v="49.7"/>
    <n v="1"/>
  </r>
  <r>
    <s v="USR-100961"/>
    <d v="2025-05-24T00:00:00"/>
    <x v="1"/>
    <s v="East"/>
    <x v="0"/>
    <x v="1"/>
    <s v="Premium"/>
    <n v="1"/>
    <n v="1"/>
    <n v="1"/>
    <n v="0"/>
    <n v="0"/>
    <n v="1"/>
    <n v="0"/>
    <m/>
    <n v="83.4"/>
    <n v="1"/>
  </r>
  <r>
    <s v="USR-100962"/>
    <d v="2025-03-18T00:00:00"/>
    <x v="1"/>
    <s v="East"/>
    <x v="1"/>
    <x v="1"/>
    <s v="Basic"/>
    <n v="1"/>
    <n v="0"/>
    <n v="0"/>
    <n v="0"/>
    <n v="0"/>
    <n v="0"/>
    <n v="0"/>
    <m/>
    <n v="75.900000000000006"/>
    <n v="1"/>
  </r>
  <r>
    <s v="USR-100963"/>
    <d v="2025-01-11T00:00:00"/>
    <x v="1"/>
    <s v="East"/>
    <x v="0"/>
    <x v="2"/>
    <s v="Free"/>
    <n v="0"/>
    <n v="0"/>
    <n v="0"/>
    <n v="0"/>
    <n v="0"/>
    <n v="1"/>
    <n v="0"/>
    <m/>
    <n v="71.8"/>
    <n v="1"/>
  </r>
  <r>
    <s v="USR-100964"/>
    <d v="2025-02-09T00:00:00"/>
    <x v="1"/>
    <s v="South"/>
    <x v="1"/>
    <x v="1"/>
    <s v="Basic"/>
    <n v="0"/>
    <n v="0"/>
    <n v="0"/>
    <n v="0"/>
    <n v="0"/>
    <n v="0"/>
    <n v="0"/>
    <m/>
    <n v="37.9"/>
    <n v="1"/>
  </r>
  <r>
    <s v="USR-100965"/>
    <d v="2025-03-01T00:00:00"/>
    <x v="1"/>
    <s v="North"/>
    <x v="0"/>
    <x v="4"/>
    <s v="Free"/>
    <n v="1"/>
    <n v="0"/>
    <n v="0"/>
    <n v="0"/>
    <n v="0"/>
    <n v="0"/>
    <n v="0"/>
    <m/>
    <n v="59.8"/>
    <n v="1"/>
  </r>
  <r>
    <s v="USR-100966"/>
    <d v="2025-05-07T00:00:00"/>
    <x v="1"/>
    <s v="North"/>
    <x v="1"/>
    <x v="1"/>
    <s v="Basic"/>
    <n v="0"/>
    <n v="0"/>
    <n v="0"/>
    <n v="0"/>
    <n v="0"/>
    <n v="0"/>
    <n v="0"/>
    <m/>
    <n v="66.900000000000006"/>
    <n v="1"/>
  </r>
  <r>
    <s v="USR-100967"/>
    <d v="2025-02-19T00:00:00"/>
    <x v="1"/>
    <s v="South"/>
    <x v="0"/>
    <x v="5"/>
    <s v="Free"/>
    <n v="1"/>
    <n v="0"/>
    <n v="0"/>
    <n v="0"/>
    <n v="0"/>
    <n v="0"/>
    <n v="0"/>
    <m/>
    <n v="59"/>
    <n v="1"/>
  </r>
  <r>
    <s v="USR-100968"/>
    <d v="2025-02-26T00:00:00"/>
    <x v="1"/>
    <s v="West"/>
    <x v="1"/>
    <x v="1"/>
    <s v="Premium"/>
    <n v="1"/>
    <n v="0"/>
    <n v="0"/>
    <n v="0"/>
    <n v="0"/>
    <n v="0"/>
    <n v="0"/>
    <m/>
    <n v="80.099999999999994"/>
    <n v="1"/>
  </r>
  <r>
    <s v="USR-100969"/>
    <d v="2025-03-23T00:00:00"/>
    <x v="1"/>
    <s v="South"/>
    <x v="1"/>
    <x v="4"/>
    <s v="Free"/>
    <n v="0"/>
    <n v="0"/>
    <n v="0"/>
    <n v="0"/>
    <n v="0"/>
    <n v="0"/>
    <n v="0"/>
    <m/>
    <n v="64.3"/>
    <n v="1"/>
  </r>
  <r>
    <s v="USR-100970"/>
    <d v="2025-04-25T00:00:00"/>
    <x v="1"/>
    <s v="South"/>
    <x v="0"/>
    <x v="4"/>
    <s v="Free"/>
    <n v="0"/>
    <n v="0"/>
    <n v="0"/>
    <n v="0"/>
    <n v="0"/>
    <n v="1"/>
    <n v="0"/>
    <m/>
    <n v="57.4"/>
    <n v="1"/>
  </r>
  <r>
    <s v="USR-100971"/>
    <d v="2025-05-10T00:00:00"/>
    <x v="1"/>
    <s v="North"/>
    <x v="0"/>
    <x v="4"/>
    <s v="Free"/>
    <n v="1"/>
    <n v="1"/>
    <n v="1"/>
    <n v="0"/>
    <n v="0"/>
    <n v="0"/>
    <n v="0"/>
    <m/>
    <n v="83.6"/>
    <n v="1"/>
  </r>
  <r>
    <s v="USR-100972"/>
    <d v="2025-04-22T00:00:00"/>
    <x v="1"/>
    <s v="East"/>
    <x v="1"/>
    <x v="2"/>
    <s v="Premium"/>
    <n v="0"/>
    <n v="0"/>
    <n v="0"/>
    <n v="0"/>
    <n v="0"/>
    <n v="0"/>
    <n v="0"/>
    <m/>
    <n v="45.8"/>
    <n v="1"/>
  </r>
  <r>
    <s v="USR-100973"/>
    <d v="2025-02-18T00:00:00"/>
    <x v="1"/>
    <s v="West"/>
    <x v="1"/>
    <x v="3"/>
    <s v="Basic"/>
    <n v="1"/>
    <n v="1"/>
    <n v="1"/>
    <n v="0"/>
    <n v="0"/>
    <n v="0"/>
    <n v="0"/>
    <m/>
    <n v="64.3"/>
    <n v="1"/>
  </r>
  <r>
    <s v="USR-100974"/>
    <d v="2025-01-26T00:00:00"/>
    <x v="1"/>
    <s v="South"/>
    <x v="1"/>
    <x v="2"/>
    <s v="Premium"/>
    <n v="1"/>
    <n v="1"/>
    <n v="1"/>
    <n v="0"/>
    <n v="0"/>
    <n v="0"/>
    <n v="0"/>
    <m/>
    <n v="80.5"/>
    <n v="1"/>
  </r>
  <r>
    <s v="USR-100975"/>
    <d v="2025-04-28T00:00:00"/>
    <x v="1"/>
    <s v="North"/>
    <x v="1"/>
    <x v="1"/>
    <s v="Free"/>
    <n v="1"/>
    <n v="0"/>
    <n v="0"/>
    <n v="0"/>
    <n v="0"/>
    <n v="0"/>
    <n v="0"/>
    <m/>
    <n v="46.3"/>
    <n v="1"/>
  </r>
  <r>
    <s v="USR-100976"/>
    <d v="2025-04-02T00:00:00"/>
    <x v="1"/>
    <s v="South"/>
    <x v="0"/>
    <x v="0"/>
    <s v="Basic"/>
    <n v="1"/>
    <n v="0"/>
    <n v="0"/>
    <n v="0"/>
    <n v="0"/>
    <n v="0"/>
    <n v="0"/>
    <m/>
    <n v="71.599999999999994"/>
    <n v="1"/>
  </r>
  <r>
    <s v="USR-100977"/>
    <d v="2025-04-12T00:00:00"/>
    <x v="1"/>
    <s v="South"/>
    <x v="0"/>
    <x v="0"/>
    <s v="Premium"/>
    <n v="1"/>
    <n v="1"/>
    <n v="0"/>
    <n v="0"/>
    <n v="0"/>
    <n v="0"/>
    <n v="0"/>
    <m/>
    <n v="57.8"/>
    <n v="1"/>
  </r>
  <r>
    <s v="USR-100978"/>
    <d v="2025-01-03T00:00:00"/>
    <x v="1"/>
    <s v="West"/>
    <x v="0"/>
    <x v="0"/>
    <s v="Basic"/>
    <n v="1"/>
    <n v="1"/>
    <n v="1"/>
    <n v="0"/>
    <n v="0"/>
    <n v="1"/>
    <n v="0"/>
    <m/>
    <n v="57.8"/>
    <n v="1"/>
  </r>
  <r>
    <s v="USR-100979"/>
    <d v="2025-05-08T00:00:00"/>
    <x v="1"/>
    <s v="North"/>
    <x v="1"/>
    <x v="2"/>
    <s v="Free"/>
    <n v="1"/>
    <n v="0"/>
    <n v="0"/>
    <n v="0"/>
    <n v="0"/>
    <n v="0"/>
    <n v="0"/>
    <m/>
    <n v="38.299999999999997"/>
    <n v="1"/>
  </r>
  <r>
    <s v="USR-100980"/>
    <d v="2025-02-20T00:00:00"/>
    <x v="1"/>
    <s v="North"/>
    <x v="1"/>
    <x v="3"/>
    <s v="Premium"/>
    <n v="1"/>
    <n v="0"/>
    <n v="0"/>
    <n v="0"/>
    <n v="0"/>
    <n v="1"/>
    <n v="0"/>
    <m/>
    <n v="66.099999999999994"/>
    <n v="1"/>
  </r>
  <r>
    <s v="USR-100981"/>
    <d v="2025-03-17T00:00:00"/>
    <x v="1"/>
    <s v="North"/>
    <x v="0"/>
    <x v="2"/>
    <s v="Premium"/>
    <n v="1"/>
    <n v="0"/>
    <n v="0"/>
    <n v="0"/>
    <n v="0"/>
    <n v="0"/>
    <n v="0"/>
    <m/>
    <n v="66.5"/>
    <n v="1"/>
  </r>
  <r>
    <s v="USR-100982"/>
    <d v="2025-04-10T00:00:00"/>
    <x v="1"/>
    <s v="South"/>
    <x v="0"/>
    <x v="0"/>
    <s v="Free"/>
    <n v="1"/>
    <n v="0"/>
    <n v="0"/>
    <n v="0"/>
    <n v="0"/>
    <n v="3"/>
    <n v="0"/>
    <m/>
    <n v="51.5"/>
    <n v="1"/>
  </r>
  <r>
    <s v="USR-100983"/>
    <d v="2025-05-08T00:00:00"/>
    <x v="1"/>
    <s v="North"/>
    <x v="0"/>
    <x v="3"/>
    <s v="Free"/>
    <n v="1"/>
    <n v="0"/>
    <n v="0"/>
    <n v="0"/>
    <n v="0"/>
    <n v="0"/>
    <n v="0"/>
    <m/>
    <n v="59.9"/>
    <n v="1"/>
  </r>
  <r>
    <s v="USR-100984"/>
    <d v="2025-04-19T00:00:00"/>
    <x v="1"/>
    <s v="West"/>
    <x v="1"/>
    <x v="2"/>
    <s v="Basic"/>
    <n v="1"/>
    <n v="0"/>
    <n v="0"/>
    <n v="0"/>
    <n v="0"/>
    <n v="0"/>
    <n v="0"/>
    <m/>
    <n v="58.8"/>
    <n v="1"/>
  </r>
  <r>
    <s v="USR-100985"/>
    <d v="2025-01-01T00:00:00"/>
    <x v="1"/>
    <s v="South"/>
    <x v="2"/>
    <x v="2"/>
    <s v="Basic"/>
    <n v="1"/>
    <n v="0"/>
    <n v="0"/>
    <n v="0"/>
    <n v="0"/>
    <n v="0"/>
    <n v="0"/>
    <m/>
    <n v="69.599999999999994"/>
    <n v="1"/>
  </r>
  <r>
    <s v="USR-100986"/>
    <d v="2025-03-10T00:00:00"/>
    <x v="1"/>
    <s v="East"/>
    <x v="1"/>
    <x v="2"/>
    <s v="Free"/>
    <n v="1"/>
    <n v="0"/>
    <n v="0"/>
    <n v="0"/>
    <n v="0"/>
    <n v="0"/>
    <n v="0"/>
    <m/>
    <n v="77.5"/>
    <n v="1"/>
  </r>
  <r>
    <s v="USR-100987"/>
    <d v="2025-03-10T00:00:00"/>
    <x v="1"/>
    <s v="East"/>
    <x v="2"/>
    <x v="4"/>
    <s v="Premium"/>
    <n v="0"/>
    <n v="0"/>
    <n v="0"/>
    <n v="0"/>
    <n v="0"/>
    <n v="2"/>
    <n v="0"/>
    <m/>
    <n v="57.5"/>
    <n v="1"/>
  </r>
  <r>
    <s v="USR-100988"/>
    <d v="2025-04-19T00:00:00"/>
    <x v="1"/>
    <s v="West"/>
    <x v="2"/>
    <x v="0"/>
    <s v="Basic"/>
    <n v="1"/>
    <n v="0"/>
    <n v="0"/>
    <n v="0"/>
    <n v="0"/>
    <n v="0"/>
    <n v="0"/>
    <m/>
    <n v="64.2"/>
    <n v="1"/>
  </r>
  <r>
    <s v="USR-100989"/>
    <d v="2025-04-11T00:00:00"/>
    <x v="1"/>
    <s v="West"/>
    <x v="0"/>
    <x v="1"/>
    <s v="Free"/>
    <n v="0"/>
    <n v="0"/>
    <n v="0"/>
    <n v="0"/>
    <n v="0"/>
    <n v="0"/>
    <n v="0"/>
    <m/>
    <n v="60"/>
    <n v="1"/>
  </r>
  <r>
    <s v="USR-100990"/>
    <d v="2025-04-10T00:00:00"/>
    <x v="1"/>
    <s v="East"/>
    <x v="1"/>
    <x v="1"/>
    <s v="Basic"/>
    <n v="1"/>
    <n v="0"/>
    <n v="0"/>
    <n v="0"/>
    <n v="0"/>
    <n v="1"/>
    <n v="0"/>
    <m/>
    <n v="43.7"/>
    <n v="1"/>
  </r>
  <r>
    <s v="USR-100991"/>
    <d v="2025-01-13T00:00:00"/>
    <x v="1"/>
    <s v="West"/>
    <x v="0"/>
    <x v="4"/>
    <s v="Free"/>
    <n v="1"/>
    <n v="0"/>
    <n v="0"/>
    <n v="0"/>
    <n v="0"/>
    <n v="0"/>
    <n v="0"/>
    <m/>
    <n v="64.900000000000006"/>
    <n v="1"/>
  </r>
  <r>
    <s v="USR-100992"/>
    <d v="2025-03-28T00:00:00"/>
    <x v="1"/>
    <s v="South"/>
    <x v="0"/>
    <x v="1"/>
    <s v="Free"/>
    <n v="1"/>
    <n v="1"/>
    <n v="0"/>
    <n v="0"/>
    <n v="0"/>
    <n v="0"/>
    <n v="0"/>
    <m/>
    <n v="45.5"/>
    <n v="1"/>
  </r>
  <r>
    <s v="USR-100993"/>
    <d v="2025-01-29T00:00:00"/>
    <x v="1"/>
    <s v="East"/>
    <x v="1"/>
    <x v="2"/>
    <s v="Free"/>
    <n v="1"/>
    <n v="1"/>
    <n v="1"/>
    <n v="1"/>
    <n v="1772.97"/>
    <n v="0"/>
    <n v="0"/>
    <n v="8"/>
    <n v="61.2"/>
    <n v="1"/>
  </r>
  <r>
    <s v="USR-100994"/>
    <d v="2025-03-27T00:00:00"/>
    <x v="1"/>
    <s v="South"/>
    <x v="1"/>
    <x v="3"/>
    <s v="Free"/>
    <n v="0"/>
    <n v="0"/>
    <n v="0"/>
    <n v="0"/>
    <n v="0"/>
    <n v="0"/>
    <n v="0"/>
    <m/>
    <n v="87.8"/>
    <n v="1"/>
  </r>
  <r>
    <s v="USR-100995"/>
    <d v="2025-03-20T00:00:00"/>
    <x v="1"/>
    <s v="East"/>
    <x v="2"/>
    <x v="4"/>
    <s v="Free"/>
    <n v="0"/>
    <n v="0"/>
    <n v="0"/>
    <n v="0"/>
    <n v="0"/>
    <n v="0"/>
    <n v="0"/>
    <m/>
    <n v="86.4"/>
    <n v="1"/>
  </r>
  <r>
    <s v="USR-100996"/>
    <d v="2025-01-09T00:00:00"/>
    <x v="1"/>
    <s v="North"/>
    <x v="1"/>
    <x v="2"/>
    <s v="Basic"/>
    <n v="0"/>
    <n v="0"/>
    <n v="0"/>
    <n v="0"/>
    <n v="0"/>
    <n v="1"/>
    <n v="0"/>
    <m/>
    <n v="71.400000000000006"/>
    <n v="1"/>
  </r>
  <r>
    <s v="USR-100997"/>
    <d v="2025-04-25T00:00:00"/>
    <x v="1"/>
    <s v="West"/>
    <x v="1"/>
    <x v="4"/>
    <s v="Free"/>
    <n v="1"/>
    <n v="1"/>
    <n v="1"/>
    <n v="1"/>
    <n v="218.66"/>
    <n v="0"/>
    <n v="1"/>
    <n v="8"/>
    <n v="72.2"/>
    <n v="1"/>
  </r>
  <r>
    <s v="USR-100998"/>
    <d v="2025-04-11T00:00:00"/>
    <x v="1"/>
    <s v="South"/>
    <x v="0"/>
    <x v="4"/>
    <s v="Free"/>
    <n v="1"/>
    <n v="0"/>
    <n v="0"/>
    <n v="0"/>
    <n v="0"/>
    <n v="0"/>
    <n v="0"/>
    <m/>
    <n v="51.9"/>
    <n v="1"/>
  </r>
  <r>
    <s v="USR-100999"/>
    <d v="2025-02-05T00:00:00"/>
    <x v="1"/>
    <s v="East"/>
    <x v="1"/>
    <x v="4"/>
    <s v="Basic"/>
    <n v="1"/>
    <n v="1"/>
    <n v="1"/>
    <n v="0"/>
    <n v="0"/>
    <n v="0"/>
    <n v="0"/>
    <m/>
    <n v="70.3"/>
    <n v="1"/>
  </r>
  <r>
    <s v="USR-101000"/>
    <d v="2025-03-28T00:00:00"/>
    <x v="1"/>
    <s v="South"/>
    <x v="1"/>
    <x v="4"/>
    <s v="Premium"/>
    <n v="1"/>
    <n v="0"/>
    <n v="0"/>
    <n v="0"/>
    <n v="0"/>
    <n v="1"/>
    <n v="0"/>
    <m/>
    <n v="49.2"/>
    <n v="1"/>
  </r>
  <r>
    <s v="USR-101001"/>
    <d v="2025-05-14T00:00:00"/>
    <x v="1"/>
    <s v="South"/>
    <x v="1"/>
    <x v="3"/>
    <s v="Free"/>
    <n v="0"/>
    <n v="0"/>
    <n v="0"/>
    <n v="0"/>
    <n v="0"/>
    <n v="0"/>
    <n v="0"/>
    <m/>
    <n v="52.2"/>
    <n v="1"/>
  </r>
  <r>
    <s v="USR-101002"/>
    <d v="2025-03-10T00:00:00"/>
    <x v="1"/>
    <s v="East"/>
    <x v="1"/>
    <x v="2"/>
    <s v="Basic"/>
    <n v="0"/>
    <n v="0"/>
    <n v="0"/>
    <n v="0"/>
    <n v="0"/>
    <n v="1"/>
    <n v="0"/>
    <m/>
    <n v="62.6"/>
    <n v="1"/>
  </r>
  <r>
    <s v="USR-101003"/>
    <d v="2025-04-09T00:00:00"/>
    <x v="1"/>
    <s v="East"/>
    <x v="0"/>
    <x v="2"/>
    <s v="Free"/>
    <n v="1"/>
    <n v="1"/>
    <n v="0"/>
    <n v="0"/>
    <n v="0"/>
    <n v="0"/>
    <n v="0"/>
    <m/>
    <n v="100"/>
    <n v="1"/>
  </r>
  <r>
    <s v="USR-101004"/>
    <d v="2025-02-13T00:00:00"/>
    <x v="1"/>
    <s v="North"/>
    <x v="1"/>
    <x v="3"/>
    <s v="Basic"/>
    <n v="1"/>
    <n v="1"/>
    <n v="1"/>
    <n v="0"/>
    <n v="0"/>
    <n v="2"/>
    <n v="0"/>
    <m/>
    <n v="45.9"/>
    <n v="1"/>
  </r>
  <r>
    <s v="USR-101005"/>
    <d v="2025-05-03T00:00:00"/>
    <x v="1"/>
    <s v="East"/>
    <x v="1"/>
    <x v="0"/>
    <s v="Free"/>
    <n v="1"/>
    <n v="1"/>
    <n v="1"/>
    <n v="0"/>
    <n v="0"/>
    <n v="0"/>
    <n v="0"/>
    <m/>
    <n v="80.7"/>
    <n v="1"/>
  </r>
  <r>
    <s v="USR-101006"/>
    <d v="2025-04-16T00:00:00"/>
    <x v="1"/>
    <s v="South"/>
    <x v="0"/>
    <x v="3"/>
    <s v="Premium"/>
    <n v="1"/>
    <n v="0"/>
    <n v="0"/>
    <n v="0"/>
    <n v="0"/>
    <n v="0"/>
    <n v="0"/>
    <m/>
    <n v="51.9"/>
    <n v="1"/>
  </r>
  <r>
    <s v="USR-101007"/>
    <d v="2025-04-30T00:00:00"/>
    <x v="1"/>
    <s v="North"/>
    <x v="1"/>
    <x v="2"/>
    <s v="Premium"/>
    <n v="1"/>
    <n v="0"/>
    <n v="0"/>
    <n v="0"/>
    <n v="0"/>
    <n v="0"/>
    <n v="0"/>
    <m/>
    <n v="68.900000000000006"/>
    <n v="1"/>
  </r>
  <r>
    <s v="USR-101008"/>
    <d v="2025-02-18T00:00:00"/>
    <x v="1"/>
    <s v="West"/>
    <x v="0"/>
    <x v="1"/>
    <s v="Free"/>
    <n v="1"/>
    <n v="0"/>
    <n v="0"/>
    <n v="0"/>
    <n v="0"/>
    <n v="0"/>
    <n v="0"/>
    <m/>
    <n v="66"/>
    <n v="1"/>
  </r>
  <r>
    <s v="USR-101009"/>
    <d v="2025-05-22T00:00:00"/>
    <x v="1"/>
    <s v="West"/>
    <x v="0"/>
    <x v="3"/>
    <s v="Basic"/>
    <n v="0"/>
    <n v="0"/>
    <n v="0"/>
    <n v="0"/>
    <n v="0"/>
    <n v="0"/>
    <n v="0"/>
    <m/>
    <n v="63.1"/>
    <n v="1"/>
  </r>
  <r>
    <s v="USR-101010"/>
    <d v="2025-05-21T00:00:00"/>
    <x v="1"/>
    <s v="South"/>
    <x v="0"/>
    <x v="1"/>
    <s v="Free"/>
    <n v="0"/>
    <n v="0"/>
    <n v="0"/>
    <n v="0"/>
    <n v="0"/>
    <n v="0"/>
    <n v="0"/>
    <m/>
    <n v="56"/>
    <n v="1"/>
  </r>
  <r>
    <s v="USR-101011"/>
    <d v="2025-04-10T00:00:00"/>
    <x v="1"/>
    <s v="East"/>
    <x v="0"/>
    <x v="1"/>
    <s v="Free"/>
    <n v="1"/>
    <n v="0"/>
    <n v="0"/>
    <n v="0"/>
    <n v="0"/>
    <n v="1"/>
    <n v="0"/>
    <m/>
    <n v="65.7"/>
    <n v="1"/>
  </r>
  <r>
    <s v="USR-101012"/>
    <d v="2025-01-07T00:00:00"/>
    <x v="1"/>
    <s v="North"/>
    <x v="0"/>
    <x v="1"/>
    <s v="Premium"/>
    <n v="1"/>
    <n v="1"/>
    <n v="1"/>
    <n v="1"/>
    <n v="1938.31"/>
    <n v="1"/>
    <n v="0"/>
    <n v="9"/>
    <n v="60.9"/>
    <n v="1"/>
  </r>
  <r>
    <s v="USR-101013"/>
    <d v="2025-02-03T00:00:00"/>
    <x v="1"/>
    <s v="South"/>
    <x v="0"/>
    <x v="4"/>
    <s v="Free"/>
    <n v="0"/>
    <n v="0"/>
    <n v="0"/>
    <n v="0"/>
    <n v="0"/>
    <n v="0"/>
    <n v="0"/>
    <m/>
    <n v="45.5"/>
    <n v="1"/>
  </r>
  <r>
    <s v="USR-101014"/>
    <d v="2025-05-18T00:00:00"/>
    <x v="1"/>
    <s v="North"/>
    <x v="1"/>
    <x v="2"/>
    <s v="Free"/>
    <n v="1"/>
    <n v="0"/>
    <n v="0"/>
    <n v="0"/>
    <n v="0"/>
    <n v="0"/>
    <n v="0"/>
    <m/>
    <n v="50"/>
    <n v="1"/>
  </r>
  <r>
    <s v="USR-101015"/>
    <d v="2025-01-31T00:00:00"/>
    <x v="1"/>
    <s v="North"/>
    <x v="1"/>
    <x v="3"/>
    <s v="Free"/>
    <n v="1"/>
    <n v="0"/>
    <n v="0"/>
    <n v="0"/>
    <n v="0"/>
    <n v="0"/>
    <n v="0"/>
    <m/>
    <n v="72.099999999999994"/>
    <n v="1"/>
  </r>
  <r>
    <s v="USR-101016"/>
    <d v="2025-01-16T00:00:00"/>
    <x v="1"/>
    <s v="South"/>
    <x v="0"/>
    <x v="1"/>
    <s v="Basic"/>
    <n v="1"/>
    <n v="0"/>
    <n v="0"/>
    <n v="0"/>
    <n v="0"/>
    <n v="0"/>
    <n v="0"/>
    <m/>
    <n v="76.3"/>
    <n v="1"/>
  </r>
  <r>
    <s v="USR-101017"/>
    <d v="2025-05-14T00:00:00"/>
    <x v="1"/>
    <s v="East"/>
    <x v="1"/>
    <x v="2"/>
    <s v="Basic"/>
    <n v="1"/>
    <n v="1"/>
    <n v="0"/>
    <n v="0"/>
    <n v="0"/>
    <n v="1"/>
    <n v="0"/>
    <m/>
    <n v="54.8"/>
    <n v="1"/>
  </r>
  <r>
    <s v="USR-101018"/>
    <d v="2025-04-01T00:00:00"/>
    <x v="1"/>
    <s v="South"/>
    <x v="1"/>
    <x v="5"/>
    <s v="Basic"/>
    <n v="1"/>
    <n v="0"/>
    <n v="0"/>
    <n v="0"/>
    <n v="0"/>
    <n v="0"/>
    <n v="0"/>
    <m/>
    <n v="63.6"/>
    <n v="1"/>
  </r>
  <r>
    <s v="USR-101019"/>
    <d v="2025-04-23T00:00:00"/>
    <x v="1"/>
    <s v="South"/>
    <x v="1"/>
    <x v="1"/>
    <s v="Free"/>
    <n v="1"/>
    <n v="0"/>
    <n v="0"/>
    <n v="0"/>
    <n v="0"/>
    <n v="0"/>
    <n v="0"/>
    <m/>
    <n v="68.8"/>
    <n v="1"/>
  </r>
  <r>
    <s v="USR-101020"/>
    <d v="2025-03-02T00:00:00"/>
    <x v="1"/>
    <s v="South"/>
    <x v="0"/>
    <x v="2"/>
    <s v="Basic"/>
    <n v="1"/>
    <n v="0"/>
    <n v="0"/>
    <n v="0"/>
    <n v="0"/>
    <n v="0"/>
    <n v="0"/>
    <m/>
    <n v="63.2"/>
    <n v="1"/>
  </r>
  <r>
    <s v="USR-101021"/>
    <d v="2025-01-02T00:00:00"/>
    <x v="1"/>
    <s v="East"/>
    <x v="1"/>
    <x v="2"/>
    <s v="Basic"/>
    <n v="0"/>
    <n v="0"/>
    <n v="0"/>
    <n v="0"/>
    <n v="0"/>
    <n v="0"/>
    <n v="0"/>
    <m/>
    <n v="45"/>
    <n v="1"/>
  </r>
  <r>
    <s v="USR-101022"/>
    <d v="2025-05-04T00:00:00"/>
    <x v="1"/>
    <s v="South"/>
    <x v="1"/>
    <x v="1"/>
    <s v="Free"/>
    <n v="1"/>
    <n v="0"/>
    <n v="0"/>
    <n v="0"/>
    <n v="0"/>
    <n v="0"/>
    <n v="0"/>
    <m/>
    <n v="77.400000000000006"/>
    <n v="1"/>
  </r>
  <r>
    <s v="USR-101023"/>
    <d v="2025-01-16T00:00:00"/>
    <x v="1"/>
    <s v="East"/>
    <x v="0"/>
    <x v="2"/>
    <s v="Basic"/>
    <n v="0"/>
    <n v="0"/>
    <n v="0"/>
    <n v="0"/>
    <n v="0"/>
    <n v="0"/>
    <n v="0"/>
    <m/>
    <n v="53.1"/>
    <n v="1"/>
  </r>
  <r>
    <s v="USR-101024"/>
    <d v="2025-02-11T00:00:00"/>
    <x v="1"/>
    <s v="West"/>
    <x v="2"/>
    <x v="2"/>
    <s v="Premium"/>
    <n v="0"/>
    <n v="0"/>
    <n v="0"/>
    <n v="0"/>
    <n v="0"/>
    <n v="0"/>
    <n v="0"/>
    <m/>
    <n v="74"/>
    <n v="1"/>
  </r>
  <r>
    <s v="USR-101025"/>
    <d v="2025-04-03T00:00:00"/>
    <x v="1"/>
    <s v="North"/>
    <x v="1"/>
    <x v="4"/>
    <s v="Premium"/>
    <n v="1"/>
    <n v="1"/>
    <n v="1"/>
    <n v="1"/>
    <n v="1906.23"/>
    <n v="0"/>
    <n v="0"/>
    <n v="4"/>
    <n v="84.6"/>
    <n v="1"/>
  </r>
  <r>
    <s v="USR-101026"/>
    <d v="2025-03-26T00:00:00"/>
    <x v="1"/>
    <s v="East"/>
    <x v="1"/>
    <x v="3"/>
    <s v="Free"/>
    <n v="1"/>
    <n v="0"/>
    <n v="0"/>
    <n v="0"/>
    <n v="0"/>
    <n v="0"/>
    <n v="0"/>
    <m/>
    <n v="57"/>
    <n v="1"/>
  </r>
  <r>
    <s v="USR-101027"/>
    <d v="2025-05-16T00:00:00"/>
    <x v="1"/>
    <s v="South"/>
    <x v="1"/>
    <x v="0"/>
    <s v="Premium"/>
    <n v="0"/>
    <n v="0"/>
    <n v="0"/>
    <n v="0"/>
    <n v="0"/>
    <n v="0"/>
    <n v="0"/>
    <m/>
    <n v="46.3"/>
    <n v="1"/>
  </r>
  <r>
    <s v="USR-101028"/>
    <d v="2025-04-20T00:00:00"/>
    <x v="1"/>
    <s v="West"/>
    <x v="1"/>
    <x v="4"/>
    <s v="Free"/>
    <n v="0"/>
    <n v="0"/>
    <n v="0"/>
    <n v="0"/>
    <n v="0"/>
    <n v="1"/>
    <n v="0"/>
    <m/>
    <n v="64.400000000000006"/>
    <n v="1"/>
  </r>
  <r>
    <s v="USR-101029"/>
    <d v="2025-04-15T00:00:00"/>
    <x v="1"/>
    <s v="West"/>
    <x v="1"/>
    <x v="2"/>
    <s v="Free"/>
    <n v="1"/>
    <n v="0"/>
    <n v="0"/>
    <n v="0"/>
    <n v="0"/>
    <n v="2"/>
    <n v="0"/>
    <m/>
    <n v="61.9"/>
    <n v="1"/>
  </r>
  <r>
    <s v="USR-101030"/>
    <d v="2025-01-24T00:00:00"/>
    <x v="1"/>
    <s v="North"/>
    <x v="1"/>
    <x v="1"/>
    <s v="Premium"/>
    <n v="1"/>
    <n v="1"/>
    <n v="1"/>
    <n v="0"/>
    <n v="0"/>
    <n v="0"/>
    <n v="0"/>
    <m/>
    <n v="93.7"/>
    <n v="1"/>
  </r>
  <r>
    <s v="USR-101031"/>
    <d v="2025-04-11T00:00:00"/>
    <x v="1"/>
    <s v="South"/>
    <x v="1"/>
    <x v="3"/>
    <s v="Basic"/>
    <n v="0"/>
    <n v="0"/>
    <n v="0"/>
    <n v="0"/>
    <n v="0"/>
    <n v="0"/>
    <n v="0"/>
    <m/>
    <n v="61.6"/>
    <n v="1"/>
  </r>
  <r>
    <s v="USR-101032"/>
    <d v="2025-05-19T00:00:00"/>
    <x v="1"/>
    <s v="North"/>
    <x v="1"/>
    <x v="2"/>
    <s v="Free"/>
    <n v="1"/>
    <n v="0"/>
    <n v="0"/>
    <n v="0"/>
    <n v="0"/>
    <n v="0"/>
    <n v="0"/>
    <m/>
    <n v="72.2"/>
    <n v="1"/>
  </r>
  <r>
    <s v="USR-101033"/>
    <d v="2025-01-14T00:00:00"/>
    <x v="1"/>
    <s v="North"/>
    <x v="1"/>
    <x v="1"/>
    <s v="Basic"/>
    <n v="0"/>
    <n v="0"/>
    <n v="0"/>
    <n v="0"/>
    <n v="0"/>
    <n v="0"/>
    <n v="0"/>
    <m/>
    <n v="69.5"/>
    <n v="1"/>
  </r>
  <r>
    <s v="USR-101034"/>
    <d v="2025-02-28T00:00:00"/>
    <x v="1"/>
    <s v="East"/>
    <x v="0"/>
    <x v="1"/>
    <s v="Basic"/>
    <n v="0"/>
    <n v="0"/>
    <n v="0"/>
    <n v="0"/>
    <n v="0"/>
    <n v="0"/>
    <n v="0"/>
    <m/>
    <n v="59.7"/>
    <n v="1"/>
  </r>
  <r>
    <s v="USR-101035"/>
    <d v="2025-05-18T00:00:00"/>
    <x v="1"/>
    <s v="East"/>
    <x v="2"/>
    <x v="2"/>
    <s v="Basic"/>
    <n v="1"/>
    <n v="0"/>
    <n v="0"/>
    <n v="0"/>
    <n v="0"/>
    <n v="0"/>
    <n v="0"/>
    <m/>
    <n v="73.900000000000006"/>
    <n v="1"/>
  </r>
  <r>
    <s v="USR-101036"/>
    <d v="2025-01-04T00:00:00"/>
    <x v="1"/>
    <s v="North"/>
    <x v="1"/>
    <x v="4"/>
    <s v="Free"/>
    <n v="0"/>
    <n v="0"/>
    <n v="0"/>
    <n v="0"/>
    <n v="0"/>
    <n v="0"/>
    <n v="0"/>
    <m/>
    <n v="41.5"/>
    <n v="1"/>
  </r>
  <r>
    <s v="USR-101037"/>
    <d v="2025-01-16T00:00:00"/>
    <x v="1"/>
    <s v="West"/>
    <x v="1"/>
    <x v="4"/>
    <s v="Premium"/>
    <n v="1"/>
    <n v="0"/>
    <n v="0"/>
    <n v="0"/>
    <n v="0"/>
    <n v="0"/>
    <n v="0"/>
    <m/>
    <n v="82.8"/>
    <n v="1"/>
  </r>
  <r>
    <s v="USR-101038"/>
    <d v="2025-03-14T00:00:00"/>
    <x v="1"/>
    <s v="West"/>
    <x v="1"/>
    <x v="4"/>
    <s v="Premium"/>
    <n v="1"/>
    <n v="0"/>
    <n v="0"/>
    <n v="0"/>
    <n v="0"/>
    <n v="3"/>
    <n v="0"/>
    <m/>
    <n v="70.2"/>
    <n v="1"/>
  </r>
  <r>
    <s v="USR-101039"/>
    <d v="2025-01-23T00:00:00"/>
    <x v="1"/>
    <s v="East"/>
    <x v="1"/>
    <x v="2"/>
    <s v="Basic"/>
    <n v="1"/>
    <n v="0"/>
    <n v="0"/>
    <n v="0"/>
    <n v="0"/>
    <n v="1"/>
    <n v="0"/>
    <m/>
    <n v="69.400000000000006"/>
    <n v="1"/>
  </r>
  <r>
    <s v="USR-101040"/>
    <d v="2025-02-03T00:00:00"/>
    <x v="1"/>
    <s v="North"/>
    <x v="0"/>
    <x v="1"/>
    <s v="Basic"/>
    <n v="1"/>
    <n v="0"/>
    <n v="0"/>
    <n v="0"/>
    <n v="0"/>
    <n v="0"/>
    <n v="0"/>
    <m/>
    <n v="60.4"/>
    <n v="1"/>
  </r>
  <r>
    <s v="USR-101041"/>
    <d v="2025-05-16T00:00:00"/>
    <x v="1"/>
    <s v="East"/>
    <x v="1"/>
    <x v="3"/>
    <s v="Free"/>
    <n v="1"/>
    <n v="0"/>
    <n v="0"/>
    <n v="0"/>
    <n v="0"/>
    <n v="0"/>
    <n v="0"/>
    <m/>
    <n v="45.7"/>
    <n v="1"/>
  </r>
  <r>
    <s v="USR-101042"/>
    <d v="2025-01-11T00:00:00"/>
    <x v="1"/>
    <s v="West"/>
    <x v="1"/>
    <x v="1"/>
    <s v="Basic"/>
    <n v="0"/>
    <n v="0"/>
    <n v="0"/>
    <n v="0"/>
    <n v="0"/>
    <n v="1"/>
    <n v="0"/>
    <m/>
    <n v="42.2"/>
    <n v="1"/>
  </r>
  <r>
    <s v="USR-101043"/>
    <d v="2025-05-25T00:00:00"/>
    <x v="1"/>
    <s v="North"/>
    <x v="0"/>
    <x v="1"/>
    <s v="Free"/>
    <n v="0"/>
    <n v="0"/>
    <n v="0"/>
    <n v="0"/>
    <n v="0"/>
    <n v="2"/>
    <n v="0"/>
    <m/>
    <n v="61.9"/>
    <n v="1"/>
  </r>
  <r>
    <s v="USR-101044"/>
    <d v="2025-05-08T00:00:00"/>
    <x v="1"/>
    <s v="East"/>
    <x v="1"/>
    <x v="2"/>
    <s v="Premium"/>
    <n v="0"/>
    <n v="0"/>
    <n v="0"/>
    <n v="0"/>
    <n v="0"/>
    <n v="0"/>
    <n v="0"/>
    <m/>
    <n v="44.9"/>
    <n v="1"/>
  </r>
  <r>
    <s v="USR-101045"/>
    <d v="2025-02-26T00:00:00"/>
    <x v="1"/>
    <s v="East"/>
    <x v="0"/>
    <x v="5"/>
    <s v="Basic"/>
    <n v="1"/>
    <n v="0"/>
    <n v="0"/>
    <n v="0"/>
    <n v="0"/>
    <n v="0"/>
    <n v="0"/>
    <m/>
    <n v="68"/>
    <n v="1"/>
  </r>
  <r>
    <s v="USR-101046"/>
    <d v="2025-03-30T00:00:00"/>
    <x v="1"/>
    <s v="North"/>
    <x v="1"/>
    <x v="2"/>
    <s v="Free"/>
    <n v="1"/>
    <n v="0"/>
    <n v="0"/>
    <n v="0"/>
    <n v="0"/>
    <n v="0"/>
    <n v="0"/>
    <m/>
    <n v="61"/>
    <n v="1"/>
  </r>
  <r>
    <s v="USR-101047"/>
    <d v="2025-04-13T00:00:00"/>
    <x v="1"/>
    <s v="West"/>
    <x v="1"/>
    <x v="1"/>
    <s v="Basic"/>
    <n v="1"/>
    <n v="0"/>
    <n v="0"/>
    <n v="0"/>
    <n v="0"/>
    <n v="0"/>
    <n v="0"/>
    <m/>
    <n v="55"/>
    <n v="1"/>
  </r>
  <r>
    <s v="USR-101048"/>
    <d v="2025-02-20T00:00:00"/>
    <x v="1"/>
    <s v="East"/>
    <x v="3"/>
    <x v="2"/>
    <s v="Basic"/>
    <n v="1"/>
    <n v="0"/>
    <n v="0"/>
    <n v="0"/>
    <n v="0"/>
    <n v="0"/>
    <n v="0"/>
    <m/>
    <n v="63.1"/>
    <n v="1"/>
  </r>
  <r>
    <s v="USR-101049"/>
    <d v="2025-04-19T00:00:00"/>
    <x v="1"/>
    <s v="West"/>
    <x v="0"/>
    <x v="4"/>
    <s v="Free"/>
    <n v="1"/>
    <n v="0"/>
    <n v="0"/>
    <n v="0"/>
    <n v="0"/>
    <n v="0"/>
    <n v="0"/>
    <m/>
    <n v="75.8"/>
    <n v="1"/>
  </r>
  <r>
    <s v="USR-101050"/>
    <d v="2025-03-22T00:00:00"/>
    <x v="1"/>
    <s v="South"/>
    <x v="1"/>
    <x v="2"/>
    <s v="Free"/>
    <n v="1"/>
    <n v="1"/>
    <n v="0"/>
    <n v="0"/>
    <n v="0"/>
    <n v="1"/>
    <n v="0"/>
    <m/>
    <n v="43.8"/>
    <n v="1"/>
  </r>
  <r>
    <s v="USR-101051"/>
    <d v="2025-02-28T00:00:00"/>
    <x v="1"/>
    <s v="North"/>
    <x v="1"/>
    <x v="0"/>
    <s v="Basic"/>
    <n v="1"/>
    <n v="1"/>
    <n v="0"/>
    <n v="0"/>
    <n v="0"/>
    <n v="0"/>
    <n v="0"/>
    <m/>
    <n v="46.8"/>
    <n v="1"/>
  </r>
  <r>
    <s v="USR-101052"/>
    <d v="2025-05-24T00:00:00"/>
    <x v="1"/>
    <s v="East"/>
    <x v="1"/>
    <x v="4"/>
    <s v="Free"/>
    <n v="1"/>
    <n v="1"/>
    <n v="1"/>
    <n v="0"/>
    <n v="0"/>
    <n v="0"/>
    <n v="0"/>
    <m/>
    <n v="97.4"/>
    <n v="1"/>
  </r>
  <r>
    <s v="USR-101053"/>
    <d v="2025-02-03T00:00:00"/>
    <x v="1"/>
    <s v="North"/>
    <x v="0"/>
    <x v="0"/>
    <s v="Free"/>
    <n v="1"/>
    <n v="1"/>
    <n v="1"/>
    <n v="1"/>
    <n v="268.95999999999998"/>
    <n v="0"/>
    <n v="0"/>
    <n v="14"/>
    <n v="81"/>
    <n v="1"/>
  </r>
  <r>
    <s v="USR-101054"/>
    <d v="2025-01-27T00:00:00"/>
    <x v="1"/>
    <s v="South"/>
    <x v="1"/>
    <x v="1"/>
    <s v="Free"/>
    <n v="1"/>
    <n v="0"/>
    <n v="0"/>
    <n v="0"/>
    <n v="0"/>
    <n v="1"/>
    <n v="0"/>
    <m/>
    <n v="58.9"/>
    <n v="1"/>
  </r>
  <r>
    <s v="USR-101055"/>
    <d v="2025-04-17T00:00:00"/>
    <x v="1"/>
    <s v="East"/>
    <x v="1"/>
    <x v="1"/>
    <s v="Free"/>
    <n v="1"/>
    <n v="0"/>
    <n v="0"/>
    <n v="0"/>
    <n v="0"/>
    <n v="0"/>
    <n v="0"/>
    <m/>
    <n v="51.9"/>
    <n v="1"/>
  </r>
  <r>
    <s v="USR-101056"/>
    <d v="2025-02-06T00:00:00"/>
    <x v="1"/>
    <s v="West"/>
    <x v="1"/>
    <x v="4"/>
    <s v="Free"/>
    <n v="1"/>
    <n v="1"/>
    <n v="0"/>
    <n v="0"/>
    <n v="0"/>
    <n v="0"/>
    <n v="0"/>
    <m/>
    <n v="61.7"/>
    <n v="1"/>
  </r>
  <r>
    <s v="USR-101057"/>
    <d v="2025-04-20T00:00:00"/>
    <x v="1"/>
    <s v="South"/>
    <x v="1"/>
    <x v="2"/>
    <s v="Free"/>
    <n v="1"/>
    <n v="0"/>
    <n v="0"/>
    <n v="0"/>
    <n v="0"/>
    <n v="0"/>
    <n v="0"/>
    <m/>
    <n v="44.7"/>
    <n v="1"/>
  </r>
  <r>
    <s v="USR-101058"/>
    <d v="2025-05-06T00:00:00"/>
    <x v="1"/>
    <s v="North"/>
    <x v="1"/>
    <x v="2"/>
    <s v="Basic"/>
    <n v="0"/>
    <n v="0"/>
    <n v="0"/>
    <n v="0"/>
    <n v="0"/>
    <n v="0"/>
    <n v="0"/>
    <m/>
    <n v="63.2"/>
    <n v="1"/>
  </r>
  <r>
    <s v="USR-101059"/>
    <d v="2025-05-16T00:00:00"/>
    <x v="1"/>
    <s v="South"/>
    <x v="1"/>
    <x v="1"/>
    <s v="Free"/>
    <n v="1"/>
    <n v="0"/>
    <n v="0"/>
    <n v="0"/>
    <n v="0"/>
    <n v="0"/>
    <n v="0"/>
    <m/>
    <n v="70.3"/>
    <n v="1"/>
  </r>
  <r>
    <s v="USR-101060"/>
    <d v="2025-03-02T00:00:00"/>
    <x v="1"/>
    <s v="South"/>
    <x v="1"/>
    <x v="2"/>
    <s v="Premium"/>
    <n v="1"/>
    <n v="1"/>
    <n v="0"/>
    <n v="0"/>
    <n v="0"/>
    <n v="1"/>
    <n v="0"/>
    <m/>
    <n v="83.1"/>
    <n v="1"/>
  </r>
  <r>
    <s v="USR-101061"/>
    <d v="2025-04-09T00:00:00"/>
    <x v="1"/>
    <s v="West"/>
    <x v="1"/>
    <x v="4"/>
    <s v="Free"/>
    <n v="0"/>
    <n v="0"/>
    <n v="0"/>
    <n v="0"/>
    <n v="0"/>
    <n v="0"/>
    <n v="0"/>
    <m/>
    <n v="50.3"/>
    <n v="1"/>
  </r>
  <r>
    <s v="USR-101062"/>
    <d v="2025-01-26T00:00:00"/>
    <x v="1"/>
    <s v="East"/>
    <x v="1"/>
    <x v="2"/>
    <s v="Free"/>
    <n v="1"/>
    <n v="1"/>
    <n v="1"/>
    <n v="1"/>
    <n v="437.09"/>
    <n v="2"/>
    <n v="1"/>
    <n v="1"/>
    <n v="58.2"/>
    <n v="1"/>
  </r>
  <r>
    <s v="USR-101063"/>
    <d v="2025-02-25T00:00:00"/>
    <x v="1"/>
    <s v="South"/>
    <x v="1"/>
    <x v="2"/>
    <s v="Basic"/>
    <n v="1"/>
    <n v="1"/>
    <n v="1"/>
    <n v="0"/>
    <n v="0"/>
    <n v="0"/>
    <n v="0"/>
    <m/>
    <n v="53.2"/>
    <n v="1"/>
  </r>
  <r>
    <s v="USR-101064"/>
    <d v="2025-01-07T00:00:00"/>
    <x v="1"/>
    <s v="East"/>
    <x v="1"/>
    <x v="1"/>
    <s v="Premium"/>
    <n v="0"/>
    <n v="0"/>
    <n v="0"/>
    <n v="0"/>
    <n v="0"/>
    <n v="0"/>
    <n v="0"/>
    <m/>
    <n v="36.4"/>
    <n v="1"/>
  </r>
  <r>
    <s v="USR-101065"/>
    <d v="2025-03-08T00:00:00"/>
    <x v="1"/>
    <s v="South"/>
    <x v="1"/>
    <x v="4"/>
    <s v="Basic"/>
    <n v="1"/>
    <n v="1"/>
    <n v="1"/>
    <n v="0"/>
    <n v="0"/>
    <n v="0"/>
    <n v="0"/>
    <m/>
    <n v="72.7"/>
    <n v="1"/>
  </r>
  <r>
    <s v="USR-101066"/>
    <d v="2025-05-22T00:00:00"/>
    <x v="1"/>
    <s v="East"/>
    <x v="1"/>
    <x v="3"/>
    <s v="Free"/>
    <n v="1"/>
    <n v="0"/>
    <n v="0"/>
    <n v="0"/>
    <n v="0"/>
    <n v="1"/>
    <n v="0"/>
    <m/>
    <n v="86.7"/>
    <n v="1"/>
  </r>
  <r>
    <s v="USR-101067"/>
    <d v="2025-04-18T00:00:00"/>
    <x v="1"/>
    <s v="East"/>
    <x v="1"/>
    <x v="2"/>
    <s v="Premium"/>
    <n v="1"/>
    <n v="0"/>
    <n v="0"/>
    <n v="0"/>
    <n v="0"/>
    <n v="0"/>
    <n v="0"/>
    <m/>
    <n v="48.2"/>
    <n v="1"/>
  </r>
  <r>
    <s v="USR-101068"/>
    <d v="2025-02-24T00:00:00"/>
    <x v="1"/>
    <s v="West"/>
    <x v="1"/>
    <x v="3"/>
    <s v="Basic"/>
    <n v="0"/>
    <n v="0"/>
    <n v="0"/>
    <n v="0"/>
    <n v="0"/>
    <n v="1"/>
    <n v="0"/>
    <m/>
    <n v="57.6"/>
    <n v="1"/>
  </r>
  <r>
    <s v="USR-101069"/>
    <d v="2025-02-11T00:00:00"/>
    <x v="1"/>
    <s v="North"/>
    <x v="1"/>
    <x v="1"/>
    <s v="Free"/>
    <n v="1"/>
    <n v="1"/>
    <n v="1"/>
    <n v="0"/>
    <n v="0"/>
    <n v="0"/>
    <n v="0"/>
    <m/>
    <n v="75.7"/>
    <n v="1"/>
  </r>
  <r>
    <s v="USR-101070"/>
    <d v="2025-03-11T00:00:00"/>
    <x v="1"/>
    <s v="West"/>
    <x v="0"/>
    <x v="2"/>
    <s v="Free"/>
    <n v="1"/>
    <n v="0"/>
    <n v="0"/>
    <n v="0"/>
    <n v="0"/>
    <n v="2"/>
    <n v="0"/>
    <m/>
    <n v="48.6"/>
    <n v="1"/>
  </r>
  <r>
    <s v="USR-101071"/>
    <d v="2025-04-11T00:00:00"/>
    <x v="1"/>
    <s v="East"/>
    <x v="2"/>
    <x v="3"/>
    <s v="Free"/>
    <n v="1"/>
    <n v="1"/>
    <n v="1"/>
    <n v="0"/>
    <n v="0"/>
    <n v="0"/>
    <n v="0"/>
    <m/>
    <n v="72"/>
    <n v="1"/>
  </r>
  <r>
    <s v="USR-101072"/>
    <d v="2025-03-11T00:00:00"/>
    <x v="1"/>
    <s v="North"/>
    <x v="1"/>
    <x v="1"/>
    <s v="Free"/>
    <n v="0"/>
    <n v="0"/>
    <n v="0"/>
    <n v="0"/>
    <n v="0"/>
    <n v="0"/>
    <n v="0"/>
    <m/>
    <n v="72.2"/>
    <n v="1"/>
  </r>
  <r>
    <s v="USR-101073"/>
    <d v="2025-05-22T00:00:00"/>
    <x v="1"/>
    <s v="East"/>
    <x v="1"/>
    <x v="3"/>
    <s v="Free"/>
    <n v="1"/>
    <n v="0"/>
    <n v="0"/>
    <n v="0"/>
    <n v="0"/>
    <n v="1"/>
    <n v="0"/>
    <m/>
    <m/>
    <n v="1"/>
  </r>
  <r>
    <s v="USR-101074"/>
    <d v="2025-02-22T00:00:00"/>
    <x v="1"/>
    <s v="South"/>
    <x v="0"/>
    <x v="1"/>
    <s v="Free"/>
    <n v="1"/>
    <n v="1"/>
    <n v="1"/>
    <n v="1"/>
    <n v="331.53"/>
    <n v="2"/>
    <n v="0"/>
    <n v="4"/>
    <n v="56.8"/>
    <n v="1"/>
  </r>
  <r>
    <s v="USR-101075"/>
    <d v="2025-01-13T00:00:00"/>
    <x v="1"/>
    <s v="East"/>
    <x v="1"/>
    <x v="2"/>
    <s v="Basic"/>
    <n v="1"/>
    <n v="0"/>
    <n v="0"/>
    <n v="0"/>
    <n v="0"/>
    <n v="0"/>
    <n v="0"/>
    <m/>
    <n v="62.5"/>
    <n v="1"/>
  </r>
  <r>
    <s v="USR-101076"/>
    <d v="2025-05-19T00:00:00"/>
    <x v="1"/>
    <s v="South"/>
    <x v="1"/>
    <x v="1"/>
    <s v="Free"/>
    <n v="1"/>
    <n v="0"/>
    <n v="0"/>
    <n v="0"/>
    <n v="0"/>
    <n v="0"/>
    <n v="0"/>
    <m/>
    <n v="63.4"/>
    <n v="1"/>
  </r>
  <r>
    <s v="USR-101077"/>
    <d v="2025-03-08T00:00:00"/>
    <x v="1"/>
    <s v="North"/>
    <x v="2"/>
    <x v="1"/>
    <s v="Basic"/>
    <n v="1"/>
    <n v="1"/>
    <n v="1"/>
    <n v="1"/>
    <n v="774.78"/>
    <n v="0"/>
    <n v="0"/>
    <n v="3"/>
    <n v="46.8"/>
    <n v="1"/>
  </r>
  <r>
    <s v="USR-101078"/>
    <d v="2025-04-20T00:00:00"/>
    <x v="1"/>
    <s v="South"/>
    <x v="1"/>
    <x v="1"/>
    <s v="Free"/>
    <n v="1"/>
    <n v="1"/>
    <n v="1"/>
    <n v="1"/>
    <n v="422.02"/>
    <n v="0"/>
    <n v="0"/>
    <n v="8"/>
    <n v="86.5"/>
    <n v="1"/>
  </r>
  <r>
    <s v="USR-101079"/>
    <d v="2025-05-08T00:00:00"/>
    <x v="1"/>
    <s v="West"/>
    <x v="1"/>
    <x v="0"/>
    <s v="Basic"/>
    <n v="0"/>
    <n v="0"/>
    <n v="0"/>
    <n v="0"/>
    <n v="0"/>
    <n v="1"/>
    <n v="0"/>
    <m/>
    <n v="75.099999999999994"/>
    <n v="1"/>
  </r>
  <r>
    <s v="USR-101080"/>
    <d v="2025-05-10T00:00:00"/>
    <x v="1"/>
    <s v="South"/>
    <x v="1"/>
    <x v="1"/>
    <s v="Basic"/>
    <n v="1"/>
    <n v="0"/>
    <n v="0"/>
    <n v="0"/>
    <n v="0"/>
    <n v="0"/>
    <n v="0"/>
    <m/>
    <n v="64.5"/>
    <n v="1"/>
  </r>
  <r>
    <s v="USR-101081"/>
    <d v="2025-03-28T00:00:00"/>
    <x v="1"/>
    <s v="East"/>
    <x v="1"/>
    <x v="1"/>
    <s v="Free"/>
    <n v="1"/>
    <n v="0"/>
    <n v="0"/>
    <n v="0"/>
    <n v="0"/>
    <n v="0"/>
    <n v="0"/>
    <m/>
    <n v="54.2"/>
    <n v="1"/>
  </r>
  <r>
    <s v="USR-101082"/>
    <d v="2025-04-30T00:00:00"/>
    <x v="1"/>
    <s v="East"/>
    <x v="1"/>
    <x v="2"/>
    <s v="Premium"/>
    <n v="1"/>
    <n v="1"/>
    <n v="1"/>
    <n v="0"/>
    <n v="0"/>
    <n v="0"/>
    <n v="0"/>
    <m/>
    <n v="84.1"/>
    <n v="1"/>
  </r>
  <r>
    <s v="USR-101083"/>
    <d v="2025-02-08T00:00:00"/>
    <x v="1"/>
    <s v="North"/>
    <x v="1"/>
    <x v="1"/>
    <s v="Basic"/>
    <n v="0"/>
    <n v="0"/>
    <n v="0"/>
    <n v="0"/>
    <n v="0"/>
    <n v="1"/>
    <n v="0"/>
    <m/>
    <n v="49.1"/>
    <n v="1"/>
  </r>
  <r>
    <s v="USR-101084"/>
    <d v="2025-03-07T00:00:00"/>
    <x v="1"/>
    <s v="South"/>
    <x v="1"/>
    <x v="3"/>
    <s v="Premium"/>
    <n v="0"/>
    <n v="0"/>
    <n v="0"/>
    <n v="0"/>
    <n v="0"/>
    <n v="0"/>
    <n v="0"/>
    <m/>
    <n v="92.7"/>
    <n v="1"/>
  </r>
  <r>
    <s v="USR-101085"/>
    <d v="2025-05-21T00:00:00"/>
    <x v="1"/>
    <s v="South"/>
    <x v="1"/>
    <x v="4"/>
    <s v="Basic"/>
    <n v="1"/>
    <n v="1"/>
    <n v="1"/>
    <n v="0"/>
    <n v="0"/>
    <n v="1"/>
    <n v="0"/>
    <m/>
    <n v="58.7"/>
    <n v="1"/>
  </r>
  <r>
    <s v="USR-101086"/>
    <d v="2025-04-12T00:00:00"/>
    <x v="1"/>
    <s v="South"/>
    <x v="1"/>
    <x v="4"/>
    <s v="Free"/>
    <n v="1"/>
    <n v="1"/>
    <n v="1"/>
    <n v="0"/>
    <n v="0"/>
    <n v="0"/>
    <n v="0"/>
    <m/>
    <n v="59.3"/>
    <n v="1"/>
  </r>
  <r>
    <s v="USR-101087"/>
    <d v="2025-02-02T00:00:00"/>
    <x v="1"/>
    <s v="South"/>
    <x v="1"/>
    <x v="2"/>
    <s v="Free"/>
    <n v="1"/>
    <n v="0"/>
    <n v="0"/>
    <n v="0"/>
    <n v="0"/>
    <n v="0"/>
    <n v="0"/>
    <m/>
    <n v="62"/>
    <n v="1"/>
  </r>
  <r>
    <s v="USR-101088"/>
    <d v="2025-04-22T00:00:00"/>
    <x v="1"/>
    <s v="North"/>
    <x v="2"/>
    <x v="3"/>
    <s v="Free"/>
    <n v="1"/>
    <n v="1"/>
    <n v="1"/>
    <n v="0"/>
    <n v="0"/>
    <n v="1"/>
    <n v="0"/>
    <m/>
    <n v="60.3"/>
    <n v="1"/>
  </r>
  <r>
    <s v="USR-101089"/>
    <d v="2025-02-08T00:00:00"/>
    <x v="1"/>
    <s v="North"/>
    <x v="1"/>
    <x v="4"/>
    <s v="Basic"/>
    <n v="1"/>
    <n v="0"/>
    <n v="0"/>
    <n v="0"/>
    <n v="0"/>
    <n v="0"/>
    <n v="0"/>
    <m/>
    <n v="70.5"/>
    <n v="1"/>
  </r>
  <r>
    <s v="USR-101090"/>
    <d v="2025-01-24T00:00:00"/>
    <x v="1"/>
    <s v="South"/>
    <x v="0"/>
    <x v="0"/>
    <s v="Free"/>
    <n v="1"/>
    <n v="0"/>
    <n v="0"/>
    <n v="0"/>
    <n v="0"/>
    <n v="0"/>
    <n v="0"/>
    <m/>
    <n v="36.799999999999997"/>
    <n v="1"/>
  </r>
  <r>
    <s v="USR-101091"/>
    <d v="2025-05-12T00:00:00"/>
    <x v="1"/>
    <s v="South"/>
    <x v="1"/>
    <x v="2"/>
    <s v="Basic"/>
    <n v="0"/>
    <n v="0"/>
    <n v="0"/>
    <n v="0"/>
    <n v="0"/>
    <n v="1"/>
    <n v="0"/>
    <m/>
    <n v="73.2"/>
    <n v="1"/>
  </r>
  <r>
    <s v="USR-101092"/>
    <d v="2025-03-30T00:00:00"/>
    <x v="1"/>
    <s v="North"/>
    <x v="1"/>
    <x v="1"/>
    <s v="Basic"/>
    <n v="0"/>
    <n v="0"/>
    <n v="0"/>
    <n v="0"/>
    <n v="0"/>
    <n v="0"/>
    <n v="0"/>
    <m/>
    <n v="70.099999999999994"/>
    <n v="1"/>
  </r>
  <r>
    <s v="USR-101093"/>
    <d v="2025-01-02T00:00:00"/>
    <x v="1"/>
    <s v="South"/>
    <x v="0"/>
    <x v="2"/>
    <s v="Basic"/>
    <n v="1"/>
    <n v="0"/>
    <n v="0"/>
    <n v="0"/>
    <n v="0"/>
    <n v="0"/>
    <n v="0"/>
    <m/>
    <n v="76.400000000000006"/>
    <n v="1"/>
  </r>
  <r>
    <s v="USR-101094"/>
    <d v="2025-03-21T00:00:00"/>
    <x v="1"/>
    <s v="South"/>
    <x v="2"/>
    <x v="0"/>
    <s v="Basic"/>
    <n v="0"/>
    <n v="0"/>
    <n v="0"/>
    <n v="0"/>
    <n v="0"/>
    <n v="0"/>
    <n v="0"/>
    <m/>
    <n v="46.4"/>
    <n v="1"/>
  </r>
  <r>
    <s v="USR-101095"/>
    <d v="2025-01-25T00:00:00"/>
    <x v="1"/>
    <s v="West"/>
    <x v="1"/>
    <x v="1"/>
    <s v="Free"/>
    <n v="1"/>
    <n v="1"/>
    <n v="1"/>
    <n v="0"/>
    <n v="0"/>
    <n v="1"/>
    <n v="0"/>
    <m/>
    <n v="81.3"/>
    <n v="1"/>
  </r>
  <r>
    <s v="USR-101096"/>
    <d v="2025-01-12T00:00:00"/>
    <x v="1"/>
    <s v="South"/>
    <x v="2"/>
    <x v="4"/>
    <s v="Free"/>
    <n v="1"/>
    <n v="1"/>
    <n v="1"/>
    <n v="0"/>
    <n v="0"/>
    <n v="0"/>
    <n v="0"/>
    <m/>
    <n v="55.3"/>
    <n v="1"/>
  </r>
  <r>
    <s v="USR-101097"/>
    <d v="2025-03-18T00:00:00"/>
    <x v="1"/>
    <s v="East"/>
    <x v="0"/>
    <x v="3"/>
    <s v="Free"/>
    <n v="1"/>
    <n v="0"/>
    <n v="0"/>
    <n v="0"/>
    <n v="0"/>
    <n v="0"/>
    <n v="0"/>
    <m/>
    <n v="44.7"/>
    <n v="1"/>
  </r>
  <r>
    <s v="USR-101098"/>
    <d v="2025-03-26T00:00:00"/>
    <x v="1"/>
    <s v="East"/>
    <x v="1"/>
    <x v="2"/>
    <s v="Basic"/>
    <n v="1"/>
    <n v="0"/>
    <n v="0"/>
    <n v="0"/>
    <n v="0"/>
    <n v="0"/>
    <n v="0"/>
    <m/>
    <n v="67.2"/>
    <n v="1"/>
  </r>
  <r>
    <s v="USR-101099"/>
    <d v="2025-04-19T00:00:00"/>
    <x v="1"/>
    <s v="North"/>
    <x v="1"/>
    <x v="2"/>
    <s v="Basic"/>
    <n v="1"/>
    <n v="0"/>
    <n v="0"/>
    <n v="0"/>
    <n v="0"/>
    <n v="0"/>
    <n v="0"/>
    <m/>
    <m/>
    <n v="1"/>
  </r>
  <r>
    <s v="USR-101100"/>
    <d v="2025-04-17T00:00:00"/>
    <x v="1"/>
    <s v="East"/>
    <x v="1"/>
    <x v="1"/>
    <s v="Premium"/>
    <n v="1"/>
    <n v="1"/>
    <n v="1"/>
    <n v="0"/>
    <n v="0"/>
    <n v="1"/>
    <n v="0"/>
    <m/>
    <n v="70.8"/>
    <n v="1"/>
  </r>
  <r>
    <s v="USR-101101"/>
    <d v="2025-05-26T00:00:00"/>
    <x v="1"/>
    <s v="South"/>
    <x v="1"/>
    <x v="2"/>
    <s v="Free"/>
    <n v="1"/>
    <n v="0"/>
    <n v="0"/>
    <n v="0"/>
    <n v="0"/>
    <n v="0"/>
    <n v="0"/>
    <m/>
    <n v="71.3"/>
    <n v="1"/>
  </r>
  <r>
    <s v="USR-101102"/>
    <d v="2025-04-14T00:00:00"/>
    <x v="1"/>
    <s v="North"/>
    <x v="1"/>
    <x v="4"/>
    <s v="Premium"/>
    <n v="1"/>
    <n v="1"/>
    <n v="1"/>
    <n v="0"/>
    <n v="0"/>
    <n v="0"/>
    <n v="0"/>
    <m/>
    <n v="69.400000000000006"/>
    <n v="1"/>
  </r>
  <r>
    <s v="USR-101103"/>
    <d v="2025-01-23T00:00:00"/>
    <x v="1"/>
    <s v="South"/>
    <x v="1"/>
    <x v="1"/>
    <s v="Basic"/>
    <n v="1"/>
    <n v="1"/>
    <n v="0"/>
    <n v="0"/>
    <n v="0"/>
    <n v="0"/>
    <n v="0"/>
    <m/>
    <n v="58.9"/>
    <n v="1"/>
  </r>
  <r>
    <s v="USR-101104"/>
    <d v="2025-01-06T00:00:00"/>
    <x v="1"/>
    <s v="East"/>
    <x v="1"/>
    <x v="3"/>
    <s v="Free"/>
    <n v="0"/>
    <n v="0"/>
    <n v="0"/>
    <n v="0"/>
    <n v="0"/>
    <n v="0"/>
    <n v="0"/>
    <m/>
    <n v="70.7"/>
    <n v="1"/>
  </r>
  <r>
    <s v="USR-101105"/>
    <d v="2025-05-31T00:00:00"/>
    <x v="1"/>
    <s v="West"/>
    <x v="1"/>
    <x v="0"/>
    <s v="Basic"/>
    <n v="1"/>
    <n v="0"/>
    <n v="0"/>
    <n v="0"/>
    <n v="0"/>
    <n v="0"/>
    <n v="0"/>
    <m/>
    <n v="60.5"/>
    <n v="1"/>
  </r>
  <r>
    <s v="USR-101106"/>
    <d v="2025-05-19T00:00:00"/>
    <x v="1"/>
    <s v="North"/>
    <x v="1"/>
    <x v="1"/>
    <s v="Basic"/>
    <n v="1"/>
    <n v="1"/>
    <n v="1"/>
    <n v="0"/>
    <n v="0"/>
    <n v="0"/>
    <n v="0"/>
    <m/>
    <n v="77.3"/>
    <n v="1"/>
  </r>
  <r>
    <s v="USR-101107"/>
    <d v="2025-02-25T00:00:00"/>
    <x v="1"/>
    <s v="North"/>
    <x v="1"/>
    <x v="1"/>
    <s v="Free"/>
    <n v="0"/>
    <n v="0"/>
    <n v="0"/>
    <n v="0"/>
    <n v="0"/>
    <n v="1"/>
    <n v="0"/>
    <m/>
    <n v="39.5"/>
    <n v="1"/>
  </r>
  <r>
    <s v="USR-101108"/>
    <d v="2025-01-10T00:00:00"/>
    <x v="1"/>
    <s v="South"/>
    <x v="2"/>
    <x v="1"/>
    <s v="Basic"/>
    <n v="1"/>
    <n v="0"/>
    <n v="0"/>
    <n v="0"/>
    <n v="0"/>
    <n v="0"/>
    <n v="0"/>
    <m/>
    <n v="68.099999999999994"/>
    <n v="1"/>
  </r>
  <r>
    <s v="USR-101109"/>
    <d v="2025-05-13T00:00:00"/>
    <x v="1"/>
    <s v="North"/>
    <x v="2"/>
    <x v="2"/>
    <s v="Free"/>
    <n v="0"/>
    <n v="0"/>
    <n v="0"/>
    <n v="0"/>
    <n v="0"/>
    <n v="0"/>
    <n v="0"/>
    <m/>
    <n v="80.3"/>
    <n v="1"/>
  </r>
  <r>
    <s v="USR-101110"/>
    <d v="2025-04-27T00:00:00"/>
    <x v="1"/>
    <s v="West"/>
    <x v="0"/>
    <x v="1"/>
    <s v="Premium"/>
    <n v="1"/>
    <n v="0"/>
    <n v="0"/>
    <n v="0"/>
    <n v="0"/>
    <n v="0"/>
    <n v="0"/>
    <m/>
    <n v="77.7"/>
    <n v="1"/>
  </r>
  <r>
    <s v="USR-101111"/>
    <d v="2025-04-03T00:00:00"/>
    <x v="1"/>
    <s v="South"/>
    <x v="1"/>
    <x v="1"/>
    <s v="Free"/>
    <n v="1"/>
    <n v="0"/>
    <n v="0"/>
    <n v="0"/>
    <n v="0"/>
    <n v="1"/>
    <n v="0"/>
    <m/>
    <n v="66.2"/>
    <n v="1"/>
  </r>
  <r>
    <s v="USR-101112"/>
    <d v="2025-03-26T00:00:00"/>
    <x v="1"/>
    <s v="South"/>
    <x v="1"/>
    <x v="1"/>
    <s v="Free"/>
    <n v="1"/>
    <n v="1"/>
    <n v="1"/>
    <n v="0"/>
    <n v="0"/>
    <n v="1"/>
    <n v="0"/>
    <m/>
    <n v="43.9"/>
    <n v="1"/>
  </r>
  <r>
    <s v="USR-101113"/>
    <d v="2025-01-31T00:00:00"/>
    <x v="1"/>
    <s v="South"/>
    <x v="1"/>
    <x v="1"/>
    <s v="Basic"/>
    <n v="1"/>
    <n v="1"/>
    <n v="1"/>
    <n v="0"/>
    <n v="0"/>
    <n v="2"/>
    <n v="0"/>
    <m/>
    <n v="59.1"/>
    <n v="1"/>
  </r>
  <r>
    <s v="USR-101114"/>
    <d v="2025-01-25T00:00:00"/>
    <x v="1"/>
    <s v="South"/>
    <x v="1"/>
    <x v="4"/>
    <s v="Free"/>
    <n v="1"/>
    <n v="1"/>
    <n v="1"/>
    <n v="1"/>
    <n v="416.94"/>
    <n v="1"/>
    <n v="0"/>
    <n v="11"/>
    <n v="67"/>
    <n v="1"/>
  </r>
  <r>
    <s v="USR-101115"/>
    <d v="2025-02-06T00:00:00"/>
    <x v="1"/>
    <s v="West"/>
    <x v="1"/>
    <x v="3"/>
    <s v="Basic"/>
    <n v="1"/>
    <n v="0"/>
    <n v="0"/>
    <n v="0"/>
    <n v="0"/>
    <n v="0"/>
    <n v="0"/>
    <m/>
    <n v="47.9"/>
    <n v="1"/>
  </r>
  <r>
    <s v="USR-101116"/>
    <d v="2025-03-10T00:00:00"/>
    <x v="1"/>
    <s v="East"/>
    <x v="1"/>
    <x v="2"/>
    <s v="Free"/>
    <n v="1"/>
    <n v="1"/>
    <n v="0"/>
    <n v="0"/>
    <n v="0"/>
    <n v="0"/>
    <n v="0"/>
    <m/>
    <n v="41.5"/>
    <n v="1"/>
  </r>
  <r>
    <s v="USR-101117"/>
    <d v="2025-01-26T00:00:00"/>
    <x v="1"/>
    <s v="West"/>
    <x v="1"/>
    <x v="1"/>
    <s v="Basic"/>
    <n v="1"/>
    <n v="1"/>
    <n v="1"/>
    <n v="0"/>
    <n v="0"/>
    <n v="3"/>
    <n v="0"/>
    <m/>
    <n v="30.6"/>
    <n v="1"/>
  </r>
  <r>
    <s v="USR-101118"/>
    <d v="2025-01-01T00:00:00"/>
    <x v="1"/>
    <s v="East"/>
    <x v="1"/>
    <x v="2"/>
    <s v="Free"/>
    <n v="1"/>
    <n v="1"/>
    <n v="0"/>
    <n v="0"/>
    <n v="0"/>
    <n v="0"/>
    <n v="0"/>
    <m/>
    <n v="91.5"/>
    <n v="1"/>
  </r>
  <r>
    <s v="USR-101119"/>
    <d v="2025-04-28T00:00:00"/>
    <x v="1"/>
    <s v="North"/>
    <x v="0"/>
    <x v="4"/>
    <s v="Basic"/>
    <n v="1"/>
    <n v="0"/>
    <n v="0"/>
    <n v="0"/>
    <n v="0"/>
    <n v="0"/>
    <n v="0"/>
    <m/>
    <n v="80.8"/>
    <n v="1"/>
  </r>
  <r>
    <s v="USR-101120"/>
    <d v="2025-04-04T00:00:00"/>
    <x v="1"/>
    <s v="North"/>
    <x v="1"/>
    <x v="1"/>
    <s v="Premium"/>
    <n v="1"/>
    <n v="0"/>
    <n v="0"/>
    <n v="0"/>
    <n v="0"/>
    <n v="0"/>
    <n v="0"/>
    <m/>
    <n v="68.099999999999994"/>
    <n v="1"/>
  </r>
  <r>
    <s v="USR-101121"/>
    <d v="2025-03-02T00:00:00"/>
    <x v="1"/>
    <s v="East"/>
    <x v="1"/>
    <x v="2"/>
    <s v="Free"/>
    <n v="1"/>
    <n v="0"/>
    <n v="0"/>
    <n v="0"/>
    <n v="0"/>
    <n v="0"/>
    <n v="0"/>
    <m/>
    <n v="80.3"/>
    <n v="1"/>
  </r>
  <r>
    <s v="USR-101122"/>
    <d v="2025-03-19T00:00:00"/>
    <x v="1"/>
    <s v="South"/>
    <x v="2"/>
    <x v="1"/>
    <s v="Basic"/>
    <n v="1"/>
    <n v="0"/>
    <n v="0"/>
    <n v="0"/>
    <n v="0"/>
    <n v="0"/>
    <n v="0"/>
    <m/>
    <n v="44.4"/>
    <n v="1"/>
  </r>
  <r>
    <s v="USR-101123"/>
    <d v="2025-01-20T00:00:00"/>
    <x v="1"/>
    <s v="South"/>
    <x v="0"/>
    <x v="1"/>
    <s v="Basic"/>
    <n v="0"/>
    <n v="0"/>
    <n v="0"/>
    <n v="0"/>
    <n v="0"/>
    <n v="0"/>
    <n v="0"/>
    <m/>
    <n v="51.9"/>
    <n v="1"/>
  </r>
  <r>
    <s v="USR-101124"/>
    <d v="2025-04-03T00:00:00"/>
    <x v="1"/>
    <s v="East"/>
    <x v="1"/>
    <x v="2"/>
    <s v="Free"/>
    <n v="1"/>
    <n v="1"/>
    <n v="0"/>
    <n v="0"/>
    <n v="0"/>
    <n v="0"/>
    <n v="0"/>
    <m/>
    <n v="49.8"/>
    <n v="1"/>
  </r>
  <r>
    <s v="USR-101125"/>
    <d v="2025-01-11T00:00:00"/>
    <x v="1"/>
    <s v="East"/>
    <x v="0"/>
    <x v="4"/>
    <s v="Free"/>
    <n v="1"/>
    <n v="1"/>
    <n v="1"/>
    <n v="0"/>
    <n v="0"/>
    <n v="3"/>
    <n v="0"/>
    <m/>
    <n v="62.1"/>
    <n v="1"/>
  </r>
  <r>
    <s v="USR-101126"/>
    <d v="2025-02-02T00:00:00"/>
    <x v="1"/>
    <s v="West"/>
    <x v="0"/>
    <x v="4"/>
    <s v="Basic"/>
    <n v="1"/>
    <n v="0"/>
    <n v="0"/>
    <n v="0"/>
    <n v="0"/>
    <n v="0"/>
    <n v="0"/>
    <m/>
    <n v="91.3"/>
    <n v="1"/>
  </r>
  <r>
    <s v="USR-101127"/>
    <d v="2025-04-01T00:00:00"/>
    <x v="1"/>
    <s v="South"/>
    <x v="1"/>
    <x v="1"/>
    <s v="Basic"/>
    <n v="1"/>
    <n v="0"/>
    <n v="0"/>
    <n v="0"/>
    <n v="0"/>
    <n v="0"/>
    <n v="0"/>
    <m/>
    <n v="66.400000000000006"/>
    <n v="1"/>
  </r>
  <r>
    <s v="USR-101128"/>
    <d v="2025-05-22T00:00:00"/>
    <x v="1"/>
    <s v="East"/>
    <x v="1"/>
    <x v="1"/>
    <s v="Basic"/>
    <n v="1"/>
    <n v="0"/>
    <n v="0"/>
    <n v="0"/>
    <n v="0"/>
    <n v="0"/>
    <n v="0"/>
    <m/>
    <n v="41.5"/>
    <n v="1"/>
  </r>
  <r>
    <s v="USR-101129"/>
    <d v="2025-02-20T00:00:00"/>
    <x v="1"/>
    <s v="West"/>
    <x v="1"/>
    <x v="1"/>
    <s v="Basic"/>
    <n v="0"/>
    <n v="0"/>
    <n v="0"/>
    <n v="0"/>
    <n v="0"/>
    <n v="0"/>
    <n v="0"/>
    <m/>
    <n v="77.099999999999994"/>
    <n v="1"/>
  </r>
  <r>
    <s v="USR-101130"/>
    <d v="2025-03-21T00:00:00"/>
    <x v="1"/>
    <s v="West"/>
    <x v="1"/>
    <x v="1"/>
    <s v="Free"/>
    <n v="1"/>
    <n v="0"/>
    <n v="0"/>
    <n v="0"/>
    <n v="0"/>
    <n v="0"/>
    <n v="0"/>
    <m/>
    <n v="63.2"/>
    <n v="1"/>
  </r>
  <r>
    <s v="USR-101131"/>
    <d v="2025-05-01T00:00:00"/>
    <x v="1"/>
    <s v="West"/>
    <x v="0"/>
    <x v="3"/>
    <s v="Free"/>
    <n v="1"/>
    <n v="1"/>
    <n v="1"/>
    <n v="0"/>
    <n v="0"/>
    <n v="3"/>
    <n v="0"/>
    <m/>
    <n v="75.7"/>
    <n v="1"/>
  </r>
  <r>
    <s v="USR-101132"/>
    <d v="2025-01-06T00:00:00"/>
    <x v="1"/>
    <s v="West"/>
    <x v="1"/>
    <x v="2"/>
    <s v="Basic"/>
    <n v="0"/>
    <n v="0"/>
    <n v="0"/>
    <n v="0"/>
    <n v="0"/>
    <n v="0"/>
    <n v="0"/>
    <m/>
    <n v="62.9"/>
    <n v="1"/>
  </r>
  <r>
    <s v="USR-101133"/>
    <d v="2025-04-12T00:00:00"/>
    <x v="1"/>
    <s v="North"/>
    <x v="0"/>
    <x v="2"/>
    <s v="Premium"/>
    <n v="1"/>
    <n v="0"/>
    <n v="0"/>
    <n v="0"/>
    <n v="0"/>
    <n v="3"/>
    <n v="0"/>
    <m/>
    <n v="64.599999999999994"/>
    <n v="1"/>
  </r>
  <r>
    <s v="USR-101134"/>
    <d v="2025-04-18T00:00:00"/>
    <x v="1"/>
    <s v="North"/>
    <x v="1"/>
    <x v="5"/>
    <s v="Basic"/>
    <n v="1"/>
    <n v="0"/>
    <n v="0"/>
    <n v="0"/>
    <n v="0"/>
    <n v="0"/>
    <n v="0"/>
    <m/>
    <n v="76.599999999999994"/>
    <n v="1"/>
  </r>
  <r>
    <s v="USR-101135"/>
    <d v="2025-03-24T00:00:00"/>
    <x v="1"/>
    <s v="East"/>
    <x v="1"/>
    <x v="4"/>
    <s v="Basic"/>
    <n v="1"/>
    <n v="0"/>
    <n v="0"/>
    <n v="0"/>
    <n v="0"/>
    <n v="0"/>
    <n v="0"/>
    <m/>
    <n v="74.8"/>
    <n v="1"/>
  </r>
  <r>
    <s v="USR-101136"/>
    <d v="2025-03-18T00:00:00"/>
    <x v="1"/>
    <s v="East"/>
    <x v="0"/>
    <x v="0"/>
    <s v="Premium"/>
    <n v="1"/>
    <n v="0"/>
    <n v="0"/>
    <n v="0"/>
    <n v="0"/>
    <n v="2"/>
    <n v="0"/>
    <m/>
    <n v="38.1"/>
    <n v="1"/>
  </r>
  <r>
    <s v="USR-101137"/>
    <d v="2025-04-30T00:00:00"/>
    <x v="1"/>
    <s v="South"/>
    <x v="2"/>
    <x v="2"/>
    <s v="Basic"/>
    <n v="1"/>
    <n v="1"/>
    <n v="0"/>
    <n v="0"/>
    <n v="0"/>
    <n v="0"/>
    <n v="0"/>
    <m/>
    <n v="60.2"/>
    <n v="1"/>
  </r>
  <r>
    <s v="USR-101138"/>
    <d v="2025-01-25T00:00:00"/>
    <x v="1"/>
    <s v="West"/>
    <x v="1"/>
    <x v="0"/>
    <s v="Free"/>
    <n v="1"/>
    <n v="1"/>
    <n v="0"/>
    <n v="0"/>
    <n v="0"/>
    <n v="0"/>
    <n v="0"/>
    <m/>
    <n v="73.5"/>
    <n v="1"/>
  </r>
  <r>
    <s v="USR-101139"/>
    <d v="2025-04-10T00:00:00"/>
    <x v="1"/>
    <s v="South"/>
    <x v="1"/>
    <x v="1"/>
    <s v="Free"/>
    <n v="1"/>
    <n v="0"/>
    <n v="0"/>
    <n v="0"/>
    <n v="0"/>
    <n v="0"/>
    <n v="0"/>
    <m/>
    <n v="70.900000000000006"/>
    <n v="1"/>
  </r>
  <r>
    <s v="USR-101140"/>
    <d v="2025-01-10T00:00:00"/>
    <x v="1"/>
    <s v="West"/>
    <x v="1"/>
    <x v="4"/>
    <s v="Free"/>
    <n v="1"/>
    <n v="0"/>
    <n v="0"/>
    <n v="0"/>
    <n v="0"/>
    <n v="0"/>
    <n v="0"/>
    <m/>
    <n v="63.7"/>
    <n v="1"/>
  </r>
  <r>
    <s v="USR-101141"/>
    <d v="2025-02-11T00:00:00"/>
    <x v="1"/>
    <s v="South"/>
    <x v="1"/>
    <x v="2"/>
    <s v="Free"/>
    <n v="1"/>
    <n v="0"/>
    <n v="0"/>
    <n v="0"/>
    <n v="0"/>
    <n v="0"/>
    <n v="0"/>
    <m/>
    <n v="86.5"/>
    <n v="1"/>
  </r>
  <r>
    <s v="USR-101142"/>
    <d v="2025-05-01T00:00:00"/>
    <x v="1"/>
    <s v="East"/>
    <x v="1"/>
    <x v="4"/>
    <s v="Basic"/>
    <n v="1"/>
    <n v="1"/>
    <n v="1"/>
    <n v="1"/>
    <n v="921.72"/>
    <n v="3"/>
    <n v="0"/>
    <n v="7"/>
    <n v="74.599999999999994"/>
    <n v="1"/>
  </r>
  <r>
    <s v="USR-101143"/>
    <d v="2025-01-18T00:00:00"/>
    <x v="1"/>
    <s v="East"/>
    <x v="1"/>
    <x v="1"/>
    <s v="Free"/>
    <n v="1"/>
    <n v="0"/>
    <n v="0"/>
    <n v="0"/>
    <n v="0"/>
    <n v="0"/>
    <n v="0"/>
    <m/>
    <n v="46.6"/>
    <n v="1"/>
  </r>
  <r>
    <s v="USR-101144"/>
    <d v="2025-01-02T00:00:00"/>
    <x v="1"/>
    <s v="North"/>
    <x v="1"/>
    <x v="2"/>
    <s v="Free"/>
    <n v="0"/>
    <n v="0"/>
    <n v="0"/>
    <n v="0"/>
    <n v="0"/>
    <n v="0"/>
    <n v="0"/>
    <m/>
    <n v="61.2"/>
    <n v="1"/>
  </r>
  <r>
    <s v="USR-101145"/>
    <d v="2025-05-11T00:00:00"/>
    <x v="1"/>
    <s v="West"/>
    <x v="1"/>
    <x v="1"/>
    <s v="Free"/>
    <n v="1"/>
    <n v="1"/>
    <n v="1"/>
    <n v="1"/>
    <n v="290.39"/>
    <n v="0"/>
    <n v="0"/>
    <n v="4"/>
    <n v="54.4"/>
    <n v="1"/>
  </r>
  <r>
    <s v="USR-101146"/>
    <d v="2025-03-22T00:00:00"/>
    <x v="1"/>
    <s v="North"/>
    <x v="1"/>
    <x v="3"/>
    <s v="Free"/>
    <n v="1"/>
    <n v="1"/>
    <n v="1"/>
    <n v="0"/>
    <n v="0"/>
    <n v="0"/>
    <n v="0"/>
    <m/>
    <n v="72"/>
    <n v="1"/>
  </r>
  <r>
    <s v="USR-101147"/>
    <d v="2025-05-02T00:00:00"/>
    <x v="1"/>
    <s v="South"/>
    <x v="1"/>
    <x v="4"/>
    <s v="Premium"/>
    <n v="1"/>
    <n v="1"/>
    <n v="1"/>
    <n v="1"/>
    <n v="1858.85"/>
    <n v="0"/>
    <n v="0"/>
    <n v="8"/>
    <n v="88.6"/>
    <n v="1"/>
  </r>
  <r>
    <s v="USR-101148"/>
    <d v="2025-05-26T00:00:00"/>
    <x v="1"/>
    <s v="East"/>
    <x v="0"/>
    <x v="5"/>
    <s v="Basic"/>
    <n v="1"/>
    <n v="0"/>
    <n v="0"/>
    <n v="0"/>
    <n v="0"/>
    <n v="0"/>
    <n v="0"/>
    <m/>
    <n v="77.599999999999994"/>
    <n v="1"/>
  </r>
  <r>
    <s v="USR-101149"/>
    <d v="2025-03-13T00:00:00"/>
    <x v="1"/>
    <s v="South"/>
    <x v="1"/>
    <x v="1"/>
    <s v="Basic"/>
    <n v="1"/>
    <n v="0"/>
    <n v="0"/>
    <n v="0"/>
    <n v="0"/>
    <n v="1"/>
    <n v="0"/>
    <m/>
    <n v="44.3"/>
    <n v="1"/>
  </r>
  <r>
    <s v="USR-101150"/>
    <d v="2025-05-17T00:00:00"/>
    <x v="1"/>
    <s v="South"/>
    <x v="0"/>
    <x v="2"/>
    <s v="Free"/>
    <n v="1"/>
    <n v="1"/>
    <n v="0"/>
    <n v="0"/>
    <n v="0"/>
    <n v="0"/>
    <n v="0"/>
    <m/>
    <n v="49"/>
    <n v="1"/>
  </r>
  <r>
    <s v="USR-101151"/>
    <d v="2025-03-13T00:00:00"/>
    <x v="1"/>
    <s v="North"/>
    <x v="0"/>
    <x v="3"/>
    <s v="Premium"/>
    <n v="1"/>
    <n v="0"/>
    <n v="0"/>
    <n v="0"/>
    <n v="0"/>
    <n v="0"/>
    <n v="0"/>
    <m/>
    <n v="53.9"/>
    <n v="1"/>
  </r>
  <r>
    <s v="USR-101152"/>
    <d v="2025-02-11T00:00:00"/>
    <x v="1"/>
    <s v="East"/>
    <x v="0"/>
    <x v="1"/>
    <s v="Basic"/>
    <n v="1"/>
    <n v="0"/>
    <n v="0"/>
    <n v="0"/>
    <n v="0"/>
    <n v="1"/>
    <n v="0"/>
    <m/>
    <n v="69"/>
    <n v="1"/>
  </r>
  <r>
    <s v="USR-101153"/>
    <d v="2025-03-01T00:00:00"/>
    <x v="1"/>
    <s v="West"/>
    <x v="1"/>
    <x v="4"/>
    <s v="Free"/>
    <n v="0"/>
    <n v="0"/>
    <n v="0"/>
    <n v="0"/>
    <n v="0"/>
    <n v="0"/>
    <n v="0"/>
    <m/>
    <n v="37.4"/>
    <n v="1"/>
  </r>
  <r>
    <s v="USR-101154"/>
    <d v="2025-04-15T00:00:00"/>
    <x v="1"/>
    <s v="West"/>
    <x v="1"/>
    <x v="1"/>
    <s v="Basic"/>
    <n v="0"/>
    <n v="0"/>
    <n v="0"/>
    <n v="0"/>
    <n v="0"/>
    <n v="0"/>
    <n v="0"/>
    <m/>
    <n v="59"/>
    <n v="1"/>
  </r>
  <r>
    <s v="USR-101155"/>
    <d v="2025-02-02T00:00:00"/>
    <x v="1"/>
    <s v="East"/>
    <x v="1"/>
    <x v="1"/>
    <s v="Premium"/>
    <n v="1"/>
    <n v="0"/>
    <n v="0"/>
    <n v="0"/>
    <n v="0"/>
    <n v="0"/>
    <n v="0"/>
    <m/>
    <n v="60.8"/>
    <n v="1"/>
  </r>
  <r>
    <s v="USR-101156"/>
    <d v="2025-05-19T00:00:00"/>
    <x v="1"/>
    <s v="South"/>
    <x v="1"/>
    <x v="0"/>
    <s v="Free"/>
    <n v="1"/>
    <n v="0"/>
    <n v="0"/>
    <n v="0"/>
    <n v="0"/>
    <n v="0"/>
    <n v="0"/>
    <m/>
    <n v="57.5"/>
    <n v="1"/>
  </r>
  <r>
    <s v="USR-101157"/>
    <d v="2025-01-05T00:00:00"/>
    <x v="1"/>
    <s v="West"/>
    <x v="1"/>
    <x v="3"/>
    <s v="Free"/>
    <n v="0"/>
    <n v="0"/>
    <n v="0"/>
    <n v="0"/>
    <n v="0"/>
    <n v="0"/>
    <n v="0"/>
    <m/>
    <n v="84.2"/>
    <n v="1"/>
  </r>
  <r>
    <s v="USR-101158"/>
    <d v="2025-03-08T00:00:00"/>
    <x v="1"/>
    <s v="South"/>
    <x v="1"/>
    <x v="2"/>
    <s v="Free"/>
    <n v="1"/>
    <n v="1"/>
    <n v="0"/>
    <n v="0"/>
    <n v="0"/>
    <n v="0"/>
    <n v="0"/>
    <m/>
    <n v="27.4"/>
    <n v="1"/>
  </r>
  <r>
    <s v="USR-101159"/>
    <d v="2025-03-12T00:00:00"/>
    <x v="1"/>
    <s v="West"/>
    <x v="1"/>
    <x v="0"/>
    <s v="Basic"/>
    <n v="1"/>
    <n v="0"/>
    <n v="0"/>
    <n v="0"/>
    <n v="0"/>
    <n v="1"/>
    <n v="0"/>
    <m/>
    <n v="67.599999999999994"/>
    <n v="1"/>
  </r>
  <r>
    <s v="USR-101160"/>
    <d v="2025-01-24T00:00:00"/>
    <x v="1"/>
    <s v="West"/>
    <x v="1"/>
    <x v="1"/>
    <s v="Free"/>
    <n v="0"/>
    <n v="0"/>
    <n v="0"/>
    <n v="0"/>
    <n v="0"/>
    <n v="0"/>
    <n v="0"/>
    <m/>
    <n v="68.400000000000006"/>
    <n v="1"/>
  </r>
  <r>
    <s v="USR-101161"/>
    <d v="2025-05-22T00:00:00"/>
    <x v="1"/>
    <s v="South"/>
    <x v="1"/>
    <x v="2"/>
    <s v="Basic"/>
    <n v="1"/>
    <n v="1"/>
    <n v="1"/>
    <n v="0"/>
    <n v="0"/>
    <n v="0"/>
    <n v="0"/>
    <m/>
    <n v="66.5"/>
    <n v="1"/>
  </r>
  <r>
    <s v="USR-101162"/>
    <d v="2025-03-27T00:00:00"/>
    <x v="1"/>
    <s v="South"/>
    <x v="1"/>
    <x v="2"/>
    <s v="Free"/>
    <n v="1"/>
    <n v="0"/>
    <n v="0"/>
    <n v="0"/>
    <n v="0"/>
    <n v="0"/>
    <n v="0"/>
    <m/>
    <n v="38.200000000000003"/>
    <n v="1"/>
  </r>
  <r>
    <s v="USR-101163"/>
    <d v="2025-01-02T00:00:00"/>
    <x v="1"/>
    <s v="West"/>
    <x v="1"/>
    <x v="4"/>
    <s v="Free"/>
    <n v="0"/>
    <n v="0"/>
    <n v="0"/>
    <n v="0"/>
    <n v="0"/>
    <n v="1"/>
    <n v="0"/>
    <m/>
    <n v="66.7"/>
    <n v="1"/>
  </r>
  <r>
    <s v="USR-101164"/>
    <d v="2025-02-24T00:00:00"/>
    <x v="1"/>
    <s v="North"/>
    <x v="1"/>
    <x v="2"/>
    <s v="Free"/>
    <n v="0"/>
    <n v="0"/>
    <n v="0"/>
    <n v="0"/>
    <n v="0"/>
    <n v="1"/>
    <n v="0"/>
    <m/>
    <n v="73.7"/>
    <n v="1"/>
  </r>
  <r>
    <s v="USR-101165"/>
    <d v="2025-03-01T00:00:00"/>
    <x v="1"/>
    <s v="West"/>
    <x v="0"/>
    <x v="1"/>
    <s v="Basic"/>
    <n v="1"/>
    <n v="1"/>
    <n v="1"/>
    <n v="0"/>
    <n v="0"/>
    <n v="0"/>
    <n v="0"/>
    <m/>
    <n v="63.9"/>
    <n v="1"/>
  </r>
  <r>
    <s v="USR-101166"/>
    <d v="2025-03-26T00:00:00"/>
    <x v="1"/>
    <s v="South"/>
    <x v="2"/>
    <x v="1"/>
    <s v="Basic"/>
    <n v="1"/>
    <n v="0"/>
    <n v="0"/>
    <n v="0"/>
    <n v="0"/>
    <n v="1"/>
    <n v="0"/>
    <m/>
    <n v="82.6"/>
    <n v="1"/>
  </r>
  <r>
    <s v="USR-101167"/>
    <d v="2025-05-25T00:00:00"/>
    <x v="1"/>
    <s v="East"/>
    <x v="1"/>
    <x v="2"/>
    <s v="Free"/>
    <n v="0"/>
    <n v="0"/>
    <n v="0"/>
    <n v="0"/>
    <n v="0"/>
    <n v="1"/>
    <n v="0"/>
    <m/>
    <n v="58.3"/>
    <n v="1"/>
  </r>
  <r>
    <s v="USR-101168"/>
    <d v="2025-02-25T00:00:00"/>
    <x v="1"/>
    <s v="West"/>
    <x v="1"/>
    <x v="3"/>
    <s v="Premium"/>
    <n v="1"/>
    <n v="1"/>
    <n v="1"/>
    <n v="1"/>
    <n v="1547.06"/>
    <n v="0"/>
    <n v="1"/>
    <n v="2"/>
    <n v="72.900000000000006"/>
    <n v="1"/>
  </r>
  <r>
    <s v="USR-101169"/>
    <d v="2025-03-23T00:00:00"/>
    <x v="1"/>
    <s v="South"/>
    <x v="1"/>
    <x v="4"/>
    <s v="Free"/>
    <n v="1"/>
    <n v="1"/>
    <n v="1"/>
    <n v="0"/>
    <n v="0"/>
    <n v="2"/>
    <n v="0"/>
    <m/>
    <n v="53.5"/>
    <n v="1"/>
  </r>
  <r>
    <s v="USR-101170"/>
    <d v="2025-04-21T00:00:00"/>
    <x v="1"/>
    <s v="West"/>
    <x v="1"/>
    <x v="3"/>
    <s v="Free"/>
    <n v="1"/>
    <n v="0"/>
    <n v="0"/>
    <n v="0"/>
    <n v="0"/>
    <n v="0"/>
    <n v="0"/>
    <m/>
    <n v="54.8"/>
    <n v="1"/>
  </r>
  <r>
    <s v="USR-101171"/>
    <d v="2025-05-21T00:00:00"/>
    <x v="1"/>
    <s v="North"/>
    <x v="1"/>
    <x v="1"/>
    <s v="Premium"/>
    <n v="1"/>
    <n v="0"/>
    <n v="0"/>
    <n v="0"/>
    <n v="0"/>
    <n v="0"/>
    <n v="0"/>
    <m/>
    <n v="69.5"/>
    <n v="1"/>
  </r>
  <r>
    <s v="USR-101172"/>
    <d v="2025-04-25T00:00:00"/>
    <x v="1"/>
    <s v="North"/>
    <x v="0"/>
    <x v="4"/>
    <s v="Free"/>
    <n v="1"/>
    <n v="0"/>
    <n v="0"/>
    <n v="0"/>
    <n v="0"/>
    <n v="1"/>
    <n v="0"/>
    <m/>
    <n v="71.3"/>
    <n v="1"/>
  </r>
  <r>
    <s v="USR-101173"/>
    <d v="2025-05-23T00:00:00"/>
    <x v="1"/>
    <s v="West"/>
    <x v="1"/>
    <x v="3"/>
    <s v="Basic"/>
    <n v="1"/>
    <n v="0"/>
    <n v="0"/>
    <n v="0"/>
    <n v="0"/>
    <n v="1"/>
    <n v="0"/>
    <m/>
    <n v="57.5"/>
    <n v="1"/>
  </r>
  <r>
    <s v="USR-101174"/>
    <d v="2025-03-18T00:00:00"/>
    <x v="1"/>
    <s v="South"/>
    <x v="1"/>
    <x v="0"/>
    <s v="Free"/>
    <n v="1"/>
    <n v="0"/>
    <n v="0"/>
    <n v="0"/>
    <n v="0"/>
    <n v="4"/>
    <n v="0"/>
    <m/>
    <n v="50.9"/>
    <n v="1"/>
  </r>
  <r>
    <s v="USR-101175"/>
    <d v="2025-01-03T00:00:00"/>
    <x v="1"/>
    <s v="South"/>
    <x v="2"/>
    <x v="1"/>
    <s v="Free"/>
    <n v="1"/>
    <n v="1"/>
    <n v="1"/>
    <n v="0"/>
    <n v="0"/>
    <n v="0"/>
    <n v="0"/>
    <m/>
    <n v="69.3"/>
    <n v="1"/>
  </r>
  <r>
    <s v="USR-101176"/>
    <d v="2025-02-08T00:00:00"/>
    <x v="1"/>
    <s v="West"/>
    <x v="0"/>
    <x v="1"/>
    <s v="Free"/>
    <n v="1"/>
    <n v="0"/>
    <n v="0"/>
    <n v="0"/>
    <n v="0"/>
    <n v="0"/>
    <n v="0"/>
    <m/>
    <n v="50.1"/>
    <n v="1"/>
  </r>
  <r>
    <s v="USR-101177"/>
    <d v="2025-02-04T00:00:00"/>
    <x v="1"/>
    <s v="East"/>
    <x v="3"/>
    <x v="2"/>
    <s v="Basic"/>
    <n v="0"/>
    <n v="0"/>
    <n v="0"/>
    <n v="0"/>
    <n v="0"/>
    <n v="0"/>
    <n v="0"/>
    <m/>
    <n v="69.7"/>
    <n v="1"/>
  </r>
  <r>
    <s v="USR-101178"/>
    <d v="2025-01-16T00:00:00"/>
    <x v="1"/>
    <s v="North"/>
    <x v="1"/>
    <x v="2"/>
    <s v="Free"/>
    <n v="0"/>
    <n v="0"/>
    <n v="0"/>
    <n v="0"/>
    <n v="0"/>
    <n v="0"/>
    <n v="0"/>
    <m/>
    <n v="63.5"/>
    <n v="1"/>
  </r>
  <r>
    <s v="USR-101179"/>
    <d v="2025-04-04T00:00:00"/>
    <x v="1"/>
    <s v="West"/>
    <x v="0"/>
    <x v="2"/>
    <s v="Free"/>
    <n v="1"/>
    <n v="1"/>
    <n v="1"/>
    <n v="1"/>
    <n v="265.58999999999997"/>
    <n v="1"/>
    <n v="0"/>
    <n v="8"/>
    <n v="80.400000000000006"/>
    <n v="1"/>
  </r>
  <r>
    <s v="USR-101180"/>
    <d v="2025-01-23T00:00:00"/>
    <x v="1"/>
    <s v="North"/>
    <x v="0"/>
    <x v="2"/>
    <s v="Free"/>
    <n v="0"/>
    <n v="0"/>
    <n v="0"/>
    <n v="0"/>
    <n v="0"/>
    <n v="0"/>
    <n v="0"/>
    <m/>
    <n v="58.9"/>
    <n v="1"/>
  </r>
  <r>
    <s v="USR-101181"/>
    <d v="2025-03-22T00:00:00"/>
    <x v="1"/>
    <s v="South"/>
    <x v="0"/>
    <x v="2"/>
    <s v="Free"/>
    <n v="1"/>
    <n v="0"/>
    <n v="0"/>
    <n v="0"/>
    <n v="0"/>
    <n v="0"/>
    <n v="0"/>
    <m/>
    <n v="56.8"/>
    <n v="1"/>
  </r>
  <r>
    <s v="USR-101182"/>
    <d v="2025-02-02T00:00:00"/>
    <x v="1"/>
    <s v="East"/>
    <x v="2"/>
    <x v="4"/>
    <s v="Premium"/>
    <n v="0"/>
    <n v="0"/>
    <n v="0"/>
    <n v="0"/>
    <n v="0"/>
    <n v="0"/>
    <n v="0"/>
    <m/>
    <n v="73.900000000000006"/>
    <n v="1"/>
  </r>
  <r>
    <s v="USR-101183"/>
    <d v="2025-01-31T00:00:00"/>
    <x v="1"/>
    <s v="North"/>
    <x v="0"/>
    <x v="2"/>
    <s v="Free"/>
    <n v="0"/>
    <n v="0"/>
    <n v="0"/>
    <n v="0"/>
    <n v="0"/>
    <n v="0"/>
    <n v="0"/>
    <m/>
    <n v="76.3"/>
    <n v="1"/>
  </r>
  <r>
    <s v="USR-101184"/>
    <d v="2025-05-27T00:00:00"/>
    <x v="1"/>
    <s v="West"/>
    <x v="1"/>
    <x v="1"/>
    <s v="Basic"/>
    <n v="1"/>
    <n v="0"/>
    <n v="0"/>
    <n v="0"/>
    <n v="0"/>
    <n v="0"/>
    <n v="0"/>
    <m/>
    <n v="56.9"/>
    <n v="1"/>
  </r>
  <r>
    <s v="USR-101185"/>
    <d v="2025-05-07T00:00:00"/>
    <x v="1"/>
    <s v="North"/>
    <x v="1"/>
    <x v="1"/>
    <s v="Premium"/>
    <n v="1"/>
    <n v="0"/>
    <n v="0"/>
    <n v="0"/>
    <n v="0"/>
    <n v="2"/>
    <n v="0"/>
    <m/>
    <n v="49.4"/>
    <n v="1"/>
  </r>
  <r>
    <s v="USR-101186"/>
    <d v="2025-05-08T00:00:00"/>
    <x v="1"/>
    <s v="North"/>
    <x v="0"/>
    <x v="2"/>
    <s v="Basic"/>
    <n v="1"/>
    <n v="0"/>
    <n v="0"/>
    <n v="0"/>
    <n v="0"/>
    <n v="0"/>
    <n v="0"/>
    <m/>
    <n v="86.7"/>
    <n v="1"/>
  </r>
  <r>
    <s v="USR-101187"/>
    <d v="2025-01-15T00:00:00"/>
    <x v="1"/>
    <s v="West"/>
    <x v="0"/>
    <x v="0"/>
    <s v="Free"/>
    <n v="1"/>
    <n v="0"/>
    <n v="0"/>
    <n v="0"/>
    <n v="0"/>
    <n v="3"/>
    <n v="0"/>
    <m/>
    <n v="69"/>
    <n v="1"/>
  </r>
  <r>
    <s v="USR-101188"/>
    <d v="2025-01-18T00:00:00"/>
    <x v="1"/>
    <s v="North"/>
    <x v="1"/>
    <x v="2"/>
    <s v="Free"/>
    <n v="0"/>
    <n v="0"/>
    <n v="0"/>
    <n v="0"/>
    <n v="0"/>
    <n v="0"/>
    <n v="0"/>
    <m/>
    <n v="84.5"/>
    <n v="1"/>
  </r>
  <r>
    <s v="USR-101189"/>
    <d v="2025-04-16T00:00:00"/>
    <x v="1"/>
    <s v="East"/>
    <x v="3"/>
    <x v="3"/>
    <s v="Free"/>
    <n v="1"/>
    <n v="0"/>
    <n v="0"/>
    <n v="0"/>
    <n v="0"/>
    <n v="0"/>
    <n v="0"/>
    <m/>
    <n v="66.3"/>
    <n v="1"/>
  </r>
  <r>
    <s v="USR-101190"/>
    <d v="2025-02-16T00:00:00"/>
    <x v="1"/>
    <s v="East"/>
    <x v="0"/>
    <x v="2"/>
    <s v="Free"/>
    <n v="0"/>
    <n v="0"/>
    <n v="0"/>
    <n v="0"/>
    <n v="0"/>
    <n v="0"/>
    <n v="0"/>
    <m/>
    <n v="52.2"/>
    <n v="1"/>
  </r>
  <r>
    <s v="USR-101191"/>
    <d v="2025-04-17T00:00:00"/>
    <x v="1"/>
    <s v="South"/>
    <x v="0"/>
    <x v="3"/>
    <s v="Premium"/>
    <n v="1"/>
    <n v="1"/>
    <n v="1"/>
    <n v="0"/>
    <n v="0"/>
    <n v="0"/>
    <n v="0"/>
    <m/>
    <n v="81.2"/>
    <n v="1"/>
  </r>
  <r>
    <s v="USR-101192"/>
    <d v="2025-04-30T00:00:00"/>
    <x v="1"/>
    <s v="South"/>
    <x v="1"/>
    <x v="1"/>
    <s v="Basic"/>
    <n v="0"/>
    <n v="0"/>
    <n v="0"/>
    <n v="0"/>
    <n v="0"/>
    <n v="0"/>
    <n v="0"/>
    <m/>
    <n v="53.9"/>
    <n v="1"/>
  </r>
  <r>
    <s v="USR-101193"/>
    <d v="2025-01-29T00:00:00"/>
    <x v="1"/>
    <s v="West"/>
    <x v="1"/>
    <x v="4"/>
    <s v="Premium"/>
    <n v="0"/>
    <n v="0"/>
    <n v="0"/>
    <n v="0"/>
    <n v="0"/>
    <n v="0"/>
    <n v="0"/>
    <m/>
    <n v="39.1"/>
    <n v="1"/>
  </r>
  <r>
    <s v="USR-101194"/>
    <d v="2025-01-11T00:00:00"/>
    <x v="1"/>
    <s v="North"/>
    <x v="1"/>
    <x v="4"/>
    <s v="Basic"/>
    <n v="0"/>
    <n v="0"/>
    <n v="0"/>
    <n v="0"/>
    <n v="0"/>
    <n v="0"/>
    <n v="0"/>
    <m/>
    <n v="57.3"/>
    <n v="1"/>
  </r>
  <r>
    <s v="USR-101195"/>
    <d v="2025-04-08T00:00:00"/>
    <x v="1"/>
    <s v="East"/>
    <x v="0"/>
    <x v="2"/>
    <s v="Premium"/>
    <n v="1"/>
    <n v="0"/>
    <n v="0"/>
    <n v="0"/>
    <n v="0"/>
    <n v="1"/>
    <n v="0"/>
    <m/>
    <n v="65.900000000000006"/>
    <n v="1"/>
  </r>
  <r>
    <s v="USR-101196"/>
    <d v="2025-02-22T00:00:00"/>
    <x v="1"/>
    <s v="North"/>
    <x v="3"/>
    <x v="4"/>
    <s v="Free"/>
    <n v="1"/>
    <n v="0"/>
    <n v="0"/>
    <n v="0"/>
    <n v="0"/>
    <n v="1"/>
    <n v="0"/>
    <m/>
    <n v="34.200000000000003"/>
    <n v="1"/>
  </r>
  <r>
    <s v="USR-101197"/>
    <d v="2025-03-23T00:00:00"/>
    <x v="1"/>
    <s v="South"/>
    <x v="1"/>
    <x v="1"/>
    <s v="Free"/>
    <n v="0"/>
    <n v="0"/>
    <n v="0"/>
    <n v="0"/>
    <n v="0"/>
    <n v="0"/>
    <n v="0"/>
    <m/>
    <n v="47.2"/>
    <n v="1"/>
  </r>
  <r>
    <s v="USR-101198"/>
    <d v="2025-05-23T00:00:00"/>
    <x v="1"/>
    <s v="South"/>
    <x v="2"/>
    <x v="2"/>
    <s v="Free"/>
    <n v="1"/>
    <n v="0"/>
    <n v="0"/>
    <n v="0"/>
    <n v="0"/>
    <n v="1"/>
    <n v="0"/>
    <m/>
    <n v="55"/>
    <n v="1"/>
  </r>
  <r>
    <s v="USR-101199"/>
    <d v="2025-04-27T00:00:00"/>
    <x v="1"/>
    <s v="West"/>
    <x v="1"/>
    <x v="3"/>
    <s v="Basic"/>
    <n v="1"/>
    <n v="1"/>
    <n v="1"/>
    <n v="0"/>
    <n v="0"/>
    <n v="0"/>
    <n v="0"/>
    <m/>
    <n v="76.400000000000006"/>
    <n v="1"/>
  </r>
  <r>
    <s v="USR-101200"/>
    <d v="2025-05-26T00:00:00"/>
    <x v="1"/>
    <s v="North"/>
    <x v="1"/>
    <x v="3"/>
    <s v="Free"/>
    <n v="1"/>
    <n v="0"/>
    <n v="0"/>
    <n v="0"/>
    <n v="0"/>
    <n v="0"/>
    <n v="0"/>
    <m/>
    <n v="70.8"/>
    <n v="1"/>
  </r>
  <r>
    <s v="USR-101201"/>
    <d v="2025-03-06T00:00:00"/>
    <x v="1"/>
    <s v="East"/>
    <x v="1"/>
    <x v="2"/>
    <s v="Basic"/>
    <n v="1"/>
    <n v="1"/>
    <n v="0"/>
    <n v="0"/>
    <n v="0"/>
    <n v="1"/>
    <n v="0"/>
    <m/>
    <n v="58"/>
    <n v="1"/>
  </r>
  <r>
    <s v="USR-101202"/>
    <d v="2025-04-03T00:00:00"/>
    <x v="1"/>
    <s v="West"/>
    <x v="1"/>
    <x v="1"/>
    <s v="Basic"/>
    <n v="1"/>
    <n v="1"/>
    <n v="1"/>
    <n v="0"/>
    <n v="0"/>
    <n v="1"/>
    <n v="0"/>
    <m/>
    <n v="70.8"/>
    <n v="1"/>
  </r>
  <r>
    <s v="USR-101203"/>
    <d v="2025-02-01T00:00:00"/>
    <x v="1"/>
    <s v="East"/>
    <x v="0"/>
    <x v="2"/>
    <s v="Free"/>
    <n v="1"/>
    <n v="0"/>
    <n v="0"/>
    <n v="0"/>
    <n v="0"/>
    <n v="3"/>
    <n v="0"/>
    <m/>
    <n v="60"/>
    <n v="1"/>
  </r>
  <r>
    <s v="USR-101204"/>
    <d v="2025-05-01T00:00:00"/>
    <x v="1"/>
    <s v="West"/>
    <x v="1"/>
    <x v="3"/>
    <s v="Premium"/>
    <n v="1"/>
    <n v="1"/>
    <n v="1"/>
    <n v="0"/>
    <n v="0"/>
    <n v="3"/>
    <n v="0"/>
    <m/>
    <n v="58.1"/>
    <n v="1"/>
  </r>
  <r>
    <s v="USR-101205"/>
    <d v="2025-04-13T00:00:00"/>
    <x v="1"/>
    <s v="North"/>
    <x v="1"/>
    <x v="4"/>
    <s v="Premium"/>
    <n v="0"/>
    <n v="0"/>
    <n v="0"/>
    <n v="0"/>
    <n v="0"/>
    <n v="0"/>
    <n v="0"/>
    <m/>
    <n v="59.7"/>
    <n v="1"/>
  </r>
  <r>
    <s v="USR-101206"/>
    <d v="2025-01-25T00:00:00"/>
    <x v="1"/>
    <s v="East"/>
    <x v="1"/>
    <x v="4"/>
    <s v="Free"/>
    <n v="0"/>
    <n v="0"/>
    <n v="0"/>
    <n v="0"/>
    <n v="0"/>
    <n v="0"/>
    <n v="0"/>
    <m/>
    <n v="47.7"/>
    <n v="1"/>
  </r>
  <r>
    <s v="USR-101207"/>
    <d v="2025-03-17T00:00:00"/>
    <x v="1"/>
    <s v="North"/>
    <x v="1"/>
    <x v="1"/>
    <s v="Free"/>
    <n v="0"/>
    <n v="0"/>
    <n v="0"/>
    <n v="0"/>
    <n v="0"/>
    <n v="0"/>
    <n v="0"/>
    <m/>
    <n v="59.1"/>
    <n v="1"/>
  </r>
  <r>
    <s v="USR-101208"/>
    <d v="2025-02-21T00:00:00"/>
    <x v="1"/>
    <s v="West"/>
    <x v="0"/>
    <x v="4"/>
    <s v="Basic"/>
    <n v="1"/>
    <n v="0"/>
    <n v="0"/>
    <n v="0"/>
    <n v="0"/>
    <n v="1"/>
    <n v="0"/>
    <m/>
    <n v="68.7"/>
    <n v="1"/>
  </r>
  <r>
    <s v="USR-101209"/>
    <d v="2025-04-08T00:00:00"/>
    <x v="1"/>
    <s v="East"/>
    <x v="2"/>
    <x v="1"/>
    <s v="Basic"/>
    <n v="0"/>
    <n v="0"/>
    <n v="0"/>
    <n v="0"/>
    <n v="0"/>
    <n v="0"/>
    <n v="0"/>
    <m/>
    <n v="34.700000000000003"/>
    <n v="1"/>
  </r>
  <r>
    <s v="USR-101210"/>
    <d v="2025-02-24T00:00:00"/>
    <x v="1"/>
    <s v="West"/>
    <x v="1"/>
    <x v="1"/>
    <s v="Basic"/>
    <n v="1"/>
    <n v="0"/>
    <n v="0"/>
    <n v="0"/>
    <n v="0"/>
    <n v="0"/>
    <n v="0"/>
    <m/>
    <n v="62"/>
    <n v="1"/>
  </r>
  <r>
    <s v="USR-101211"/>
    <d v="2025-05-29T00:00:00"/>
    <x v="1"/>
    <s v="South"/>
    <x v="1"/>
    <x v="1"/>
    <s v="Free"/>
    <n v="1"/>
    <n v="1"/>
    <n v="0"/>
    <n v="0"/>
    <n v="0"/>
    <n v="0"/>
    <n v="0"/>
    <m/>
    <n v="56"/>
    <n v="1"/>
  </r>
  <r>
    <s v="USR-101212"/>
    <d v="2025-05-30T00:00:00"/>
    <x v="1"/>
    <s v="North"/>
    <x v="1"/>
    <x v="0"/>
    <s v="Basic"/>
    <n v="1"/>
    <n v="0"/>
    <n v="0"/>
    <n v="0"/>
    <n v="0"/>
    <n v="1"/>
    <n v="0"/>
    <m/>
    <n v="65.8"/>
    <n v="1"/>
  </r>
  <r>
    <s v="USR-101213"/>
    <d v="2025-01-24T00:00:00"/>
    <x v="1"/>
    <s v="North"/>
    <x v="0"/>
    <x v="1"/>
    <s v="Premium"/>
    <n v="0"/>
    <n v="0"/>
    <n v="0"/>
    <n v="0"/>
    <n v="0"/>
    <n v="0"/>
    <n v="0"/>
    <m/>
    <n v="54.7"/>
    <n v="1"/>
  </r>
  <r>
    <s v="USR-101214"/>
    <d v="2025-05-12T00:00:00"/>
    <x v="1"/>
    <s v="South"/>
    <x v="1"/>
    <x v="1"/>
    <s v="Basic"/>
    <n v="1"/>
    <n v="1"/>
    <n v="0"/>
    <n v="0"/>
    <n v="0"/>
    <n v="0"/>
    <n v="0"/>
    <m/>
    <n v="64.099999999999994"/>
    <n v="1"/>
  </r>
  <r>
    <s v="USR-101215"/>
    <d v="2025-03-28T00:00:00"/>
    <x v="1"/>
    <s v="South"/>
    <x v="1"/>
    <x v="1"/>
    <s v="Basic"/>
    <n v="1"/>
    <n v="1"/>
    <n v="1"/>
    <n v="0"/>
    <n v="0"/>
    <n v="0"/>
    <n v="0"/>
    <m/>
    <n v="71.599999999999994"/>
    <n v="1"/>
  </r>
  <r>
    <s v="USR-101216"/>
    <d v="2025-04-14T00:00:00"/>
    <x v="1"/>
    <s v="North"/>
    <x v="1"/>
    <x v="3"/>
    <s v="Basic"/>
    <n v="1"/>
    <n v="0"/>
    <n v="0"/>
    <n v="0"/>
    <n v="0"/>
    <n v="0"/>
    <n v="0"/>
    <m/>
    <n v="78.400000000000006"/>
    <n v="1"/>
  </r>
  <r>
    <s v="USR-101217"/>
    <d v="2025-01-28T00:00:00"/>
    <x v="1"/>
    <s v="East"/>
    <x v="2"/>
    <x v="3"/>
    <s v="Basic"/>
    <n v="0"/>
    <n v="0"/>
    <n v="0"/>
    <n v="0"/>
    <n v="0"/>
    <n v="0"/>
    <n v="0"/>
    <m/>
    <n v="49.3"/>
    <n v="1"/>
  </r>
  <r>
    <s v="USR-101218"/>
    <d v="2025-05-21T00:00:00"/>
    <x v="1"/>
    <s v="North"/>
    <x v="1"/>
    <x v="1"/>
    <s v="Basic"/>
    <n v="0"/>
    <n v="0"/>
    <n v="0"/>
    <n v="0"/>
    <n v="0"/>
    <n v="0"/>
    <n v="0"/>
    <m/>
    <n v="52.8"/>
    <n v="1"/>
  </r>
  <r>
    <s v="USR-101219"/>
    <d v="2025-05-11T00:00:00"/>
    <x v="1"/>
    <s v="West"/>
    <x v="0"/>
    <x v="1"/>
    <s v="Free"/>
    <n v="0"/>
    <n v="0"/>
    <n v="0"/>
    <n v="0"/>
    <n v="0"/>
    <n v="0"/>
    <n v="0"/>
    <m/>
    <n v="58.5"/>
    <n v="1"/>
  </r>
  <r>
    <s v="USR-101220"/>
    <d v="2025-02-02T00:00:00"/>
    <x v="1"/>
    <s v="South"/>
    <x v="1"/>
    <x v="2"/>
    <s v="Free"/>
    <n v="1"/>
    <n v="0"/>
    <n v="0"/>
    <n v="0"/>
    <n v="0"/>
    <n v="0"/>
    <n v="0"/>
    <m/>
    <n v="55.9"/>
    <n v="1"/>
  </r>
  <r>
    <s v="USR-101221"/>
    <d v="2025-02-26T00:00:00"/>
    <x v="1"/>
    <s v="North"/>
    <x v="1"/>
    <x v="4"/>
    <s v="Free"/>
    <n v="1"/>
    <n v="1"/>
    <n v="1"/>
    <n v="1"/>
    <n v="351.43"/>
    <n v="1"/>
    <n v="0"/>
    <n v="6"/>
    <n v="74.900000000000006"/>
    <n v="1"/>
  </r>
  <r>
    <s v="USR-101222"/>
    <d v="2025-02-27T00:00:00"/>
    <x v="1"/>
    <s v="South"/>
    <x v="0"/>
    <x v="3"/>
    <s v="Free"/>
    <n v="1"/>
    <n v="1"/>
    <n v="1"/>
    <n v="1"/>
    <n v="352.42"/>
    <n v="0"/>
    <n v="0"/>
    <n v="4"/>
    <n v="58.5"/>
    <n v="1"/>
  </r>
  <r>
    <s v="USR-101223"/>
    <d v="2025-03-09T00:00:00"/>
    <x v="1"/>
    <s v="West"/>
    <x v="1"/>
    <x v="1"/>
    <s v="Free"/>
    <n v="0"/>
    <n v="0"/>
    <n v="0"/>
    <n v="0"/>
    <n v="0"/>
    <n v="0"/>
    <n v="0"/>
    <m/>
    <n v="63.5"/>
    <n v="1"/>
  </r>
  <r>
    <s v="USR-101224"/>
    <d v="2025-02-07T00:00:00"/>
    <x v="1"/>
    <s v="North"/>
    <x v="1"/>
    <x v="2"/>
    <s v="Basic"/>
    <n v="1"/>
    <n v="0"/>
    <n v="0"/>
    <n v="0"/>
    <n v="0"/>
    <n v="1"/>
    <n v="0"/>
    <m/>
    <n v="64.8"/>
    <n v="1"/>
  </r>
  <r>
    <s v="USR-101225"/>
    <d v="2025-01-31T00:00:00"/>
    <x v="1"/>
    <s v="West"/>
    <x v="1"/>
    <x v="4"/>
    <s v="Free"/>
    <n v="0"/>
    <n v="0"/>
    <n v="0"/>
    <n v="0"/>
    <n v="0"/>
    <n v="0"/>
    <n v="0"/>
    <m/>
    <n v="63.3"/>
    <n v="1"/>
  </r>
  <r>
    <s v="USR-101226"/>
    <d v="2025-02-14T00:00:00"/>
    <x v="1"/>
    <s v="North"/>
    <x v="2"/>
    <x v="2"/>
    <s v="Basic"/>
    <n v="1"/>
    <n v="1"/>
    <n v="1"/>
    <n v="1"/>
    <n v="1074.1600000000001"/>
    <n v="0"/>
    <n v="0"/>
    <n v="8"/>
    <n v="83.7"/>
    <n v="1"/>
  </r>
  <r>
    <s v="USR-101227"/>
    <d v="2025-02-12T00:00:00"/>
    <x v="1"/>
    <s v="South"/>
    <x v="0"/>
    <x v="4"/>
    <s v="Basic"/>
    <n v="0"/>
    <n v="0"/>
    <n v="0"/>
    <n v="0"/>
    <n v="0"/>
    <n v="0"/>
    <n v="0"/>
    <m/>
    <n v="88.7"/>
    <n v="1"/>
  </r>
  <r>
    <s v="USR-101228"/>
    <d v="2025-03-23T00:00:00"/>
    <x v="1"/>
    <s v="East"/>
    <x v="3"/>
    <x v="2"/>
    <s v="Free"/>
    <n v="1"/>
    <n v="0"/>
    <n v="0"/>
    <n v="0"/>
    <n v="0"/>
    <n v="1"/>
    <n v="0"/>
    <m/>
    <n v="61.5"/>
    <n v="1"/>
  </r>
  <r>
    <s v="USR-101229"/>
    <d v="2025-03-18T00:00:00"/>
    <x v="1"/>
    <s v="West"/>
    <x v="1"/>
    <x v="2"/>
    <s v="Free"/>
    <n v="0"/>
    <n v="0"/>
    <n v="0"/>
    <n v="0"/>
    <n v="0"/>
    <n v="0"/>
    <n v="0"/>
    <m/>
    <n v="45.3"/>
    <n v="1"/>
  </r>
  <r>
    <s v="USR-101230"/>
    <d v="2025-05-17T00:00:00"/>
    <x v="1"/>
    <s v="North"/>
    <x v="1"/>
    <x v="4"/>
    <s v="Free"/>
    <n v="1"/>
    <n v="0"/>
    <n v="0"/>
    <n v="0"/>
    <n v="0"/>
    <n v="0"/>
    <n v="0"/>
    <m/>
    <n v="37.299999999999997"/>
    <n v="1"/>
  </r>
  <r>
    <s v="USR-101231"/>
    <d v="2025-03-26T00:00:00"/>
    <x v="1"/>
    <s v="West"/>
    <x v="0"/>
    <x v="4"/>
    <s v="Premium"/>
    <n v="1"/>
    <n v="0"/>
    <n v="0"/>
    <n v="0"/>
    <n v="0"/>
    <n v="1"/>
    <n v="0"/>
    <m/>
    <n v="76.099999999999994"/>
    <n v="1"/>
  </r>
  <r>
    <s v="USR-101232"/>
    <d v="2025-03-30T00:00:00"/>
    <x v="1"/>
    <s v="East"/>
    <x v="1"/>
    <x v="1"/>
    <s v="Free"/>
    <n v="1"/>
    <n v="1"/>
    <n v="1"/>
    <n v="0"/>
    <n v="0"/>
    <n v="1"/>
    <n v="0"/>
    <m/>
    <n v="72.5"/>
    <n v="1"/>
  </r>
  <r>
    <s v="USR-101233"/>
    <d v="2025-02-25T00:00:00"/>
    <x v="1"/>
    <s v="East"/>
    <x v="0"/>
    <x v="1"/>
    <s v="Free"/>
    <n v="1"/>
    <n v="0"/>
    <n v="0"/>
    <n v="0"/>
    <n v="0"/>
    <n v="0"/>
    <n v="0"/>
    <m/>
    <n v="62.3"/>
    <n v="1"/>
  </r>
  <r>
    <s v="USR-101234"/>
    <d v="2025-03-01T00:00:00"/>
    <x v="1"/>
    <s v="East"/>
    <x v="0"/>
    <x v="4"/>
    <s v="Free"/>
    <n v="0"/>
    <n v="0"/>
    <n v="0"/>
    <n v="0"/>
    <n v="0"/>
    <n v="0"/>
    <n v="0"/>
    <m/>
    <n v="62.7"/>
    <n v="1"/>
  </r>
  <r>
    <s v="USR-101235"/>
    <d v="2025-05-27T00:00:00"/>
    <x v="1"/>
    <s v="North"/>
    <x v="1"/>
    <x v="2"/>
    <s v="Basic"/>
    <n v="0"/>
    <n v="0"/>
    <n v="0"/>
    <n v="0"/>
    <n v="0"/>
    <n v="0"/>
    <n v="0"/>
    <m/>
    <n v="82.4"/>
    <n v="1"/>
  </r>
  <r>
    <s v="USR-101236"/>
    <d v="2025-02-05T00:00:00"/>
    <x v="1"/>
    <s v="West"/>
    <x v="1"/>
    <x v="5"/>
    <s v="Premium"/>
    <n v="1"/>
    <n v="0"/>
    <n v="0"/>
    <n v="0"/>
    <n v="0"/>
    <n v="0"/>
    <n v="0"/>
    <m/>
    <n v="78.900000000000006"/>
    <n v="1"/>
  </r>
  <r>
    <s v="USR-101237"/>
    <d v="2025-01-25T00:00:00"/>
    <x v="1"/>
    <s v="West"/>
    <x v="0"/>
    <x v="0"/>
    <s v="Free"/>
    <n v="1"/>
    <n v="1"/>
    <n v="1"/>
    <n v="1"/>
    <n v="618.91"/>
    <n v="0"/>
    <n v="0"/>
    <n v="4"/>
    <n v="67.8"/>
    <n v="1"/>
  </r>
  <r>
    <s v="USR-101238"/>
    <d v="2025-04-10T00:00:00"/>
    <x v="1"/>
    <s v="East"/>
    <x v="1"/>
    <x v="1"/>
    <s v="Premium"/>
    <n v="1"/>
    <n v="0"/>
    <n v="0"/>
    <n v="0"/>
    <n v="0"/>
    <n v="0"/>
    <n v="0"/>
    <m/>
    <n v="68.8"/>
    <n v="1"/>
  </r>
  <r>
    <s v="USR-101239"/>
    <d v="2025-01-10T00:00:00"/>
    <x v="1"/>
    <s v="East"/>
    <x v="1"/>
    <x v="1"/>
    <s v="Premium"/>
    <n v="1"/>
    <n v="0"/>
    <n v="0"/>
    <n v="0"/>
    <n v="0"/>
    <n v="0"/>
    <n v="0"/>
    <m/>
    <n v="67.7"/>
    <n v="1"/>
  </r>
  <r>
    <s v="USR-101240"/>
    <d v="2025-02-23T00:00:00"/>
    <x v="1"/>
    <s v="East"/>
    <x v="1"/>
    <x v="5"/>
    <s v="Free"/>
    <n v="0"/>
    <n v="0"/>
    <n v="0"/>
    <n v="0"/>
    <n v="0"/>
    <n v="0"/>
    <n v="0"/>
    <m/>
    <n v="88"/>
    <n v="1"/>
  </r>
  <r>
    <s v="USR-101241"/>
    <d v="2025-05-23T00:00:00"/>
    <x v="1"/>
    <s v="West"/>
    <x v="0"/>
    <x v="1"/>
    <s v="Basic"/>
    <n v="1"/>
    <n v="1"/>
    <n v="0"/>
    <n v="0"/>
    <n v="0"/>
    <n v="0"/>
    <n v="0"/>
    <m/>
    <n v="80.099999999999994"/>
    <n v="1"/>
  </r>
  <r>
    <s v="USR-101242"/>
    <d v="2025-03-08T00:00:00"/>
    <x v="1"/>
    <s v="North"/>
    <x v="2"/>
    <x v="0"/>
    <s v="Basic"/>
    <n v="0"/>
    <n v="0"/>
    <n v="0"/>
    <n v="0"/>
    <n v="0"/>
    <n v="1"/>
    <n v="0"/>
    <m/>
    <n v="48.2"/>
    <n v="1"/>
  </r>
  <r>
    <s v="USR-101243"/>
    <d v="2025-05-21T00:00:00"/>
    <x v="1"/>
    <s v="East"/>
    <x v="1"/>
    <x v="1"/>
    <s v="Basic"/>
    <n v="1"/>
    <n v="0"/>
    <n v="0"/>
    <n v="0"/>
    <n v="0"/>
    <n v="0"/>
    <n v="0"/>
    <m/>
    <n v="52.7"/>
    <n v="1"/>
  </r>
  <r>
    <s v="USR-101244"/>
    <d v="2025-04-22T00:00:00"/>
    <x v="1"/>
    <s v="North"/>
    <x v="1"/>
    <x v="0"/>
    <s v="Basic"/>
    <n v="1"/>
    <n v="1"/>
    <n v="0"/>
    <n v="0"/>
    <n v="0"/>
    <n v="0"/>
    <n v="0"/>
    <m/>
    <n v="59.9"/>
    <n v="1"/>
  </r>
  <r>
    <s v="USR-101245"/>
    <d v="2025-04-16T00:00:00"/>
    <x v="1"/>
    <s v="North"/>
    <x v="1"/>
    <x v="0"/>
    <s v="Premium"/>
    <n v="1"/>
    <n v="0"/>
    <n v="0"/>
    <n v="0"/>
    <n v="0"/>
    <n v="0"/>
    <n v="0"/>
    <m/>
    <n v="49.5"/>
    <n v="1"/>
  </r>
  <r>
    <s v="USR-101246"/>
    <d v="2025-05-08T00:00:00"/>
    <x v="1"/>
    <s v="North"/>
    <x v="2"/>
    <x v="1"/>
    <s v="Free"/>
    <n v="1"/>
    <n v="0"/>
    <n v="0"/>
    <n v="0"/>
    <n v="0"/>
    <n v="0"/>
    <n v="0"/>
    <m/>
    <n v="41.5"/>
    <n v="1"/>
  </r>
  <r>
    <s v="USR-101247"/>
    <d v="2025-05-22T00:00:00"/>
    <x v="1"/>
    <s v="North"/>
    <x v="1"/>
    <x v="2"/>
    <s v="Basic"/>
    <n v="1"/>
    <n v="0"/>
    <n v="0"/>
    <n v="0"/>
    <n v="0"/>
    <n v="0"/>
    <n v="0"/>
    <m/>
    <n v="71.2"/>
    <n v="1"/>
  </r>
  <r>
    <s v="USR-101248"/>
    <d v="2025-03-21T00:00:00"/>
    <x v="1"/>
    <s v="North"/>
    <x v="1"/>
    <x v="3"/>
    <s v="Basic"/>
    <n v="1"/>
    <n v="1"/>
    <n v="1"/>
    <n v="0"/>
    <n v="0"/>
    <n v="0"/>
    <n v="0"/>
    <m/>
    <n v="65.8"/>
    <n v="1"/>
  </r>
  <r>
    <s v="USR-101249"/>
    <d v="2025-03-22T00:00:00"/>
    <x v="1"/>
    <s v="East"/>
    <x v="1"/>
    <x v="1"/>
    <s v="Basic"/>
    <n v="1"/>
    <n v="0"/>
    <n v="0"/>
    <n v="0"/>
    <n v="0"/>
    <n v="1"/>
    <n v="0"/>
    <m/>
    <n v="55.1"/>
    <n v="1"/>
  </r>
  <r>
    <s v="USR-101250"/>
    <d v="2025-01-10T00:00:00"/>
    <x v="1"/>
    <s v="West"/>
    <x v="0"/>
    <x v="4"/>
    <s v="Free"/>
    <n v="1"/>
    <n v="0"/>
    <n v="0"/>
    <n v="0"/>
    <n v="0"/>
    <n v="0"/>
    <n v="0"/>
    <m/>
    <n v="54.6"/>
    <n v="1"/>
  </r>
  <r>
    <s v="USR-101251"/>
    <d v="2025-02-01T00:00:00"/>
    <x v="1"/>
    <s v="East"/>
    <x v="1"/>
    <x v="1"/>
    <s v="Basic"/>
    <n v="1"/>
    <n v="1"/>
    <n v="1"/>
    <n v="1"/>
    <n v="923.67"/>
    <n v="0"/>
    <n v="0"/>
    <n v="4"/>
    <n v="81.900000000000006"/>
    <n v="1"/>
  </r>
  <r>
    <s v="USR-101252"/>
    <d v="2025-03-31T00:00:00"/>
    <x v="1"/>
    <s v="South"/>
    <x v="1"/>
    <x v="2"/>
    <s v="Basic"/>
    <n v="1"/>
    <n v="1"/>
    <n v="0"/>
    <n v="0"/>
    <n v="0"/>
    <n v="3"/>
    <n v="0"/>
    <m/>
    <n v="63.2"/>
    <n v="1"/>
  </r>
  <r>
    <s v="USR-101253"/>
    <d v="2025-04-25T00:00:00"/>
    <x v="1"/>
    <s v="North"/>
    <x v="1"/>
    <x v="2"/>
    <s v="Free"/>
    <n v="1"/>
    <n v="0"/>
    <n v="0"/>
    <n v="0"/>
    <n v="0"/>
    <n v="0"/>
    <n v="0"/>
    <m/>
    <n v="55.4"/>
    <n v="1"/>
  </r>
  <r>
    <s v="USR-101254"/>
    <d v="2025-05-02T00:00:00"/>
    <x v="1"/>
    <s v="West"/>
    <x v="1"/>
    <x v="4"/>
    <s v="Basic"/>
    <n v="0"/>
    <n v="0"/>
    <n v="0"/>
    <n v="0"/>
    <n v="0"/>
    <n v="0"/>
    <n v="0"/>
    <m/>
    <n v="87.5"/>
    <n v="1"/>
  </r>
  <r>
    <s v="USR-101255"/>
    <d v="2025-03-08T00:00:00"/>
    <x v="1"/>
    <s v="South"/>
    <x v="0"/>
    <x v="4"/>
    <s v="Basic"/>
    <n v="1"/>
    <n v="0"/>
    <n v="0"/>
    <n v="0"/>
    <n v="0"/>
    <n v="0"/>
    <n v="0"/>
    <m/>
    <n v="48.5"/>
    <n v="1"/>
  </r>
  <r>
    <s v="USR-101256"/>
    <d v="2025-01-27T00:00:00"/>
    <x v="1"/>
    <s v="East"/>
    <x v="0"/>
    <x v="5"/>
    <s v="Free"/>
    <n v="1"/>
    <n v="1"/>
    <n v="1"/>
    <n v="1"/>
    <n v="420.27"/>
    <n v="0"/>
    <n v="0"/>
    <n v="6"/>
    <n v="58.4"/>
    <n v="1"/>
  </r>
  <r>
    <s v="USR-101257"/>
    <d v="2025-04-27T00:00:00"/>
    <x v="1"/>
    <s v="West"/>
    <x v="1"/>
    <x v="2"/>
    <s v="Free"/>
    <n v="0"/>
    <n v="0"/>
    <n v="0"/>
    <n v="0"/>
    <n v="0"/>
    <n v="0"/>
    <n v="0"/>
    <m/>
    <n v="59.5"/>
    <n v="1"/>
  </r>
  <r>
    <s v="USR-101258"/>
    <d v="2025-01-16T00:00:00"/>
    <x v="1"/>
    <s v="West"/>
    <x v="0"/>
    <x v="2"/>
    <s v="Basic"/>
    <n v="1"/>
    <n v="0"/>
    <n v="0"/>
    <n v="0"/>
    <n v="0"/>
    <n v="0"/>
    <n v="0"/>
    <m/>
    <n v="93.2"/>
    <n v="1"/>
  </r>
  <r>
    <s v="USR-101259"/>
    <d v="2025-01-18T00:00:00"/>
    <x v="1"/>
    <s v="West"/>
    <x v="0"/>
    <x v="2"/>
    <s v="Basic"/>
    <n v="1"/>
    <n v="0"/>
    <n v="0"/>
    <n v="0"/>
    <n v="0"/>
    <n v="0"/>
    <n v="0"/>
    <m/>
    <n v="59"/>
    <n v="1"/>
  </r>
  <r>
    <s v="USR-101260"/>
    <d v="2025-03-21T00:00:00"/>
    <x v="1"/>
    <s v="North"/>
    <x v="1"/>
    <x v="1"/>
    <s v="Free"/>
    <n v="1"/>
    <n v="0"/>
    <n v="0"/>
    <n v="0"/>
    <n v="0"/>
    <n v="0"/>
    <n v="0"/>
    <m/>
    <n v="37"/>
    <n v="1"/>
  </r>
  <r>
    <s v="USR-101261"/>
    <d v="2025-04-02T00:00:00"/>
    <x v="1"/>
    <s v="North"/>
    <x v="0"/>
    <x v="2"/>
    <s v="Free"/>
    <n v="1"/>
    <n v="0"/>
    <n v="0"/>
    <n v="0"/>
    <n v="0"/>
    <n v="0"/>
    <n v="0"/>
    <m/>
    <n v="47.5"/>
    <n v="1"/>
  </r>
  <r>
    <s v="USR-101262"/>
    <d v="2025-02-16T00:00:00"/>
    <x v="1"/>
    <s v="West"/>
    <x v="0"/>
    <x v="1"/>
    <s v="Free"/>
    <n v="1"/>
    <n v="1"/>
    <n v="1"/>
    <n v="0"/>
    <n v="0"/>
    <n v="0"/>
    <n v="0"/>
    <m/>
    <n v="78.7"/>
    <n v="1"/>
  </r>
  <r>
    <s v="USR-101263"/>
    <d v="2025-02-18T00:00:00"/>
    <x v="1"/>
    <s v="North"/>
    <x v="1"/>
    <x v="4"/>
    <s v="Free"/>
    <n v="1"/>
    <n v="0"/>
    <n v="0"/>
    <n v="0"/>
    <n v="0"/>
    <n v="0"/>
    <n v="0"/>
    <m/>
    <n v="49.6"/>
    <n v="1"/>
  </r>
  <r>
    <s v="USR-101264"/>
    <d v="2025-01-09T00:00:00"/>
    <x v="1"/>
    <s v="East"/>
    <x v="1"/>
    <x v="1"/>
    <s v="Free"/>
    <n v="1"/>
    <n v="0"/>
    <n v="0"/>
    <n v="0"/>
    <n v="0"/>
    <n v="0"/>
    <n v="0"/>
    <m/>
    <n v="58"/>
    <n v="1"/>
  </r>
  <r>
    <s v="USR-101265"/>
    <d v="2025-02-18T00:00:00"/>
    <x v="1"/>
    <s v="North"/>
    <x v="0"/>
    <x v="2"/>
    <s v="Free"/>
    <n v="1"/>
    <n v="0"/>
    <n v="0"/>
    <n v="0"/>
    <n v="0"/>
    <n v="1"/>
    <n v="0"/>
    <m/>
    <n v="54.4"/>
    <n v="1"/>
  </r>
  <r>
    <s v="USR-101266"/>
    <d v="2025-01-10T00:00:00"/>
    <x v="1"/>
    <s v="East"/>
    <x v="1"/>
    <x v="3"/>
    <s v="Free"/>
    <n v="0"/>
    <n v="0"/>
    <n v="0"/>
    <n v="0"/>
    <n v="0"/>
    <n v="0"/>
    <n v="0"/>
    <m/>
    <n v="33.700000000000003"/>
    <n v="1"/>
  </r>
  <r>
    <s v="USR-101267"/>
    <d v="2025-03-08T00:00:00"/>
    <x v="1"/>
    <s v="West"/>
    <x v="1"/>
    <x v="0"/>
    <s v="Free"/>
    <n v="1"/>
    <n v="0"/>
    <n v="0"/>
    <n v="0"/>
    <n v="0"/>
    <n v="0"/>
    <n v="0"/>
    <m/>
    <n v="72.7"/>
    <n v="1"/>
  </r>
  <r>
    <s v="USR-101268"/>
    <d v="2025-04-16T00:00:00"/>
    <x v="1"/>
    <s v="East"/>
    <x v="0"/>
    <x v="2"/>
    <s v="Basic"/>
    <n v="0"/>
    <n v="0"/>
    <n v="0"/>
    <n v="0"/>
    <n v="0"/>
    <n v="0"/>
    <n v="0"/>
    <m/>
    <n v="64.7"/>
    <n v="1"/>
  </r>
  <r>
    <s v="USR-101269"/>
    <d v="2025-02-19T00:00:00"/>
    <x v="1"/>
    <s v="West"/>
    <x v="0"/>
    <x v="2"/>
    <s v="Premium"/>
    <n v="0"/>
    <n v="0"/>
    <n v="0"/>
    <n v="0"/>
    <n v="0"/>
    <n v="1"/>
    <n v="0"/>
    <m/>
    <n v="48.6"/>
    <n v="1"/>
  </r>
  <r>
    <s v="USR-101270"/>
    <d v="2025-03-16T00:00:00"/>
    <x v="1"/>
    <s v="East"/>
    <x v="0"/>
    <x v="4"/>
    <s v="Free"/>
    <n v="1"/>
    <n v="1"/>
    <n v="0"/>
    <n v="0"/>
    <n v="0"/>
    <n v="0"/>
    <n v="0"/>
    <m/>
    <n v="66.2"/>
    <n v="1"/>
  </r>
  <r>
    <s v="USR-101271"/>
    <d v="2025-02-03T00:00:00"/>
    <x v="1"/>
    <s v="West"/>
    <x v="3"/>
    <x v="3"/>
    <s v="Basic"/>
    <n v="1"/>
    <n v="0"/>
    <n v="0"/>
    <n v="0"/>
    <n v="0"/>
    <n v="1"/>
    <n v="0"/>
    <m/>
    <n v="60.7"/>
    <n v="1"/>
  </r>
  <r>
    <s v="USR-101272"/>
    <d v="2025-03-12T00:00:00"/>
    <x v="1"/>
    <s v="West"/>
    <x v="1"/>
    <x v="2"/>
    <s v="Basic"/>
    <n v="1"/>
    <n v="0"/>
    <n v="0"/>
    <n v="0"/>
    <n v="0"/>
    <n v="0"/>
    <n v="0"/>
    <m/>
    <n v="36.5"/>
    <n v="1"/>
  </r>
  <r>
    <s v="USR-101273"/>
    <d v="2025-05-09T00:00:00"/>
    <x v="1"/>
    <s v="West"/>
    <x v="1"/>
    <x v="4"/>
    <s v="Free"/>
    <n v="1"/>
    <n v="1"/>
    <n v="1"/>
    <n v="0"/>
    <n v="0"/>
    <n v="3"/>
    <n v="0"/>
    <m/>
    <n v="69.7"/>
    <n v="1"/>
  </r>
  <r>
    <s v="USR-101274"/>
    <d v="2025-01-19T00:00:00"/>
    <x v="1"/>
    <s v="South"/>
    <x v="0"/>
    <x v="4"/>
    <s v="Premium"/>
    <n v="1"/>
    <n v="0"/>
    <n v="0"/>
    <n v="0"/>
    <n v="0"/>
    <n v="0"/>
    <n v="0"/>
    <m/>
    <n v="81.8"/>
    <n v="1"/>
  </r>
  <r>
    <s v="USR-101275"/>
    <d v="2025-01-24T00:00:00"/>
    <x v="1"/>
    <s v="West"/>
    <x v="1"/>
    <x v="3"/>
    <s v="Free"/>
    <n v="1"/>
    <n v="1"/>
    <n v="1"/>
    <n v="0"/>
    <n v="0"/>
    <n v="1"/>
    <n v="0"/>
    <m/>
    <n v="78.3"/>
    <n v="1"/>
  </r>
  <r>
    <s v="USR-101276"/>
    <d v="2025-03-03T00:00:00"/>
    <x v="1"/>
    <s v="East"/>
    <x v="1"/>
    <x v="3"/>
    <s v="Free"/>
    <n v="1"/>
    <n v="1"/>
    <n v="0"/>
    <n v="0"/>
    <n v="0"/>
    <n v="0"/>
    <n v="0"/>
    <m/>
    <n v="79.400000000000006"/>
    <n v="1"/>
  </r>
  <r>
    <s v="USR-101277"/>
    <d v="2025-05-27T00:00:00"/>
    <x v="1"/>
    <s v="North"/>
    <x v="0"/>
    <x v="3"/>
    <s v="Free"/>
    <n v="1"/>
    <n v="1"/>
    <n v="1"/>
    <n v="0"/>
    <n v="0"/>
    <n v="0"/>
    <n v="0"/>
    <m/>
    <n v="54.9"/>
    <n v="1"/>
  </r>
  <r>
    <s v="USR-101278"/>
    <d v="2025-04-23T00:00:00"/>
    <x v="1"/>
    <s v="West"/>
    <x v="0"/>
    <x v="1"/>
    <s v="Basic"/>
    <n v="1"/>
    <n v="0"/>
    <n v="0"/>
    <n v="0"/>
    <n v="0"/>
    <n v="0"/>
    <n v="0"/>
    <m/>
    <n v="54.9"/>
    <n v="1"/>
  </r>
  <r>
    <s v="USR-101279"/>
    <d v="2025-02-10T00:00:00"/>
    <x v="1"/>
    <s v="East"/>
    <x v="0"/>
    <x v="4"/>
    <s v="Free"/>
    <n v="0"/>
    <n v="0"/>
    <n v="0"/>
    <n v="0"/>
    <n v="0"/>
    <n v="0"/>
    <n v="0"/>
    <m/>
    <n v="28.7"/>
    <n v="1"/>
  </r>
  <r>
    <s v="USR-101280"/>
    <d v="2025-02-11T00:00:00"/>
    <x v="1"/>
    <s v="North"/>
    <x v="1"/>
    <x v="1"/>
    <s v="Free"/>
    <n v="0"/>
    <n v="0"/>
    <n v="0"/>
    <n v="0"/>
    <n v="0"/>
    <n v="0"/>
    <n v="0"/>
    <m/>
    <n v="68.8"/>
    <n v="1"/>
  </r>
  <r>
    <s v="USR-101281"/>
    <d v="2025-01-21T00:00:00"/>
    <x v="1"/>
    <s v="East"/>
    <x v="0"/>
    <x v="2"/>
    <s v="Free"/>
    <n v="1"/>
    <n v="1"/>
    <n v="1"/>
    <n v="0"/>
    <n v="0"/>
    <n v="0"/>
    <n v="0"/>
    <m/>
    <n v="43.5"/>
    <n v="1"/>
  </r>
  <r>
    <s v="USR-101282"/>
    <d v="2025-02-02T00:00:00"/>
    <x v="1"/>
    <s v="West"/>
    <x v="0"/>
    <x v="4"/>
    <s v="Free"/>
    <n v="1"/>
    <n v="1"/>
    <n v="0"/>
    <n v="0"/>
    <n v="0"/>
    <n v="0"/>
    <n v="0"/>
    <m/>
    <n v="62.6"/>
    <n v="1"/>
  </r>
  <r>
    <s v="USR-101283"/>
    <d v="2025-02-02T00:00:00"/>
    <x v="1"/>
    <s v="West"/>
    <x v="1"/>
    <x v="1"/>
    <s v="Free"/>
    <n v="0"/>
    <n v="0"/>
    <n v="0"/>
    <n v="0"/>
    <n v="0"/>
    <n v="1"/>
    <n v="0"/>
    <m/>
    <n v="54.1"/>
    <n v="1"/>
  </r>
  <r>
    <s v="USR-101284"/>
    <d v="2025-02-26T00:00:00"/>
    <x v="1"/>
    <s v="West"/>
    <x v="2"/>
    <x v="4"/>
    <s v="Free"/>
    <n v="1"/>
    <n v="1"/>
    <n v="1"/>
    <n v="0"/>
    <n v="0"/>
    <n v="0"/>
    <n v="0"/>
    <m/>
    <n v="80.099999999999994"/>
    <n v="1"/>
  </r>
  <r>
    <s v="USR-101285"/>
    <d v="2025-04-22T00:00:00"/>
    <x v="1"/>
    <s v="North"/>
    <x v="1"/>
    <x v="4"/>
    <s v="Premium"/>
    <n v="1"/>
    <n v="0"/>
    <n v="0"/>
    <n v="0"/>
    <n v="0"/>
    <n v="0"/>
    <n v="0"/>
    <m/>
    <n v="69.5"/>
    <n v="1"/>
  </r>
  <r>
    <s v="USR-101286"/>
    <d v="2025-03-11T00:00:00"/>
    <x v="1"/>
    <s v="North"/>
    <x v="0"/>
    <x v="1"/>
    <s v="Basic"/>
    <n v="0"/>
    <n v="0"/>
    <n v="0"/>
    <n v="0"/>
    <n v="0"/>
    <n v="2"/>
    <n v="0"/>
    <m/>
    <n v="46.6"/>
    <n v="1"/>
  </r>
  <r>
    <s v="USR-101287"/>
    <d v="2025-05-08T00:00:00"/>
    <x v="1"/>
    <s v="South"/>
    <x v="1"/>
    <x v="1"/>
    <s v="Premium"/>
    <n v="1"/>
    <n v="0"/>
    <n v="0"/>
    <n v="0"/>
    <n v="0"/>
    <n v="1"/>
    <n v="0"/>
    <m/>
    <n v="54.9"/>
    <n v="1"/>
  </r>
  <r>
    <s v="USR-101288"/>
    <d v="2025-03-10T00:00:00"/>
    <x v="1"/>
    <s v="East"/>
    <x v="0"/>
    <x v="1"/>
    <s v="Free"/>
    <n v="0"/>
    <n v="0"/>
    <n v="0"/>
    <n v="0"/>
    <n v="0"/>
    <n v="0"/>
    <n v="0"/>
    <m/>
    <n v="100"/>
    <n v="1"/>
  </r>
  <r>
    <s v="USR-101289"/>
    <d v="2025-04-16T00:00:00"/>
    <x v="1"/>
    <s v="East"/>
    <x v="0"/>
    <x v="2"/>
    <s v="Free"/>
    <n v="1"/>
    <n v="1"/>
    <n v="1"/>
    <n v="0"/>
    <n v="0"/>
    <n v="1"/>
    <n v="0"/>
    <m/>
    <n v="80.5"/>
    <n v="1"/>
  </r>
  <r>
    <s v="USR-101290"/>
    <d v="2025-03-01T00:00:00"/>
    <x v="1"/>
    <s v="West"/>
    <x v="2"/>
    <x v="1"/>
    <s v="Basic"/>
    <n v="1"/>
    <n v="0"/>
    <n v="0"/>
    <n v="0"/>
    <n v="0"/>
    <n v="0"/>
    <n v="0"/>
    <m/>
    <n v="51.2"/>
    <n v="1"/>
  </r>
  <r>
    <s v="USR-101291"/>
    <d v="2025-01-18T00:00:00"/>
    <x v="1"/>
    <s v="South"/>
    <x v="0"/>
    <x v="1"/>
    <s v="Premium"/>
    <n v="1"/>
    <n v="0"/>
    <n v="0"/>
    <n v="0"/>
    <n v="0"/>
    <n v="0"/>
    <n v="0"/>
    <m/>
    <n v="42.5"/>
    <n v="1"/>
  </r>
  <r>
    <s v="USR-101292"/>
    <d v="2025-03-30T00:00:00"/>
    <x v="1"/>
    <s v="North"/>
    <x v="1"/>
    <x v="2"/>
    <s v="Free"/>
    <n v="0"/>
    <n v="0"/>
    <n v="0"/>
    <n v="0"/>
    <n v="0"/>
    <n v="0"/>
    <n v="0"/>
    <m/>
    <n v="72.5"/>
    <n v="1"/>
  </r>
  <r>
    <s v="USR-101293"/>
    <d v="2025-05-26T00:00:00"/>
    <x v="1"/>
    <s v="West"/>
    <x v="1"/>
    <x v="4"/>
    <s v="Premium"/>
    <n v="0"/>
    <n v="0"/>
    <n v="0"/>
    <n v="0"/>
    <n v="0"/>
    <n v="0"/>
    <n v="0"/>
    <m/>
    <n v="74.400000000000006"/>
    <n v="1"/>
  </r>
  <r>
    <s v="USR-101294"/>
    <d v="2025-03-19T00:00:00"/>
    <x v="1"/>
    <s v="East"/>
    <x v="0"/>
    <x v="4"/>
    <s v="Free"/>
    <n v="0"/>
    <n v="0"/>
    <n v="0"/>
    <n v="0"/>
    <n v="0"/>
    <n v="0"/>
    <n v="0"/>
    <m/>
    <n v="78.400000000000006"/>
    <n v="1"/>
  </r>
  <r>
    <s v="USR-101295"/>
    <d v="2025-03-28T00:00:00"/>
    <x v="1"/>
    <s v="North"/>
    <x v="0"/>
    <x v="3"/>
    <s v="Free"/>
    <n v="1"/>
    <n v="0"/>
    <n v="0"/>
    <n v="0"/>
    <n v="0"/>
    <n v="0"/>
    <n v="0"/>
    <m/>
    <n v="71.5"/>
    <n v="1"/>
  </r>
  <r>
    <s v="USR-101296"/>
    <d v="2025-05-28T00:00:00"/>
    <x v="1"/>
    <s v="South"/>
    <x v="0"/>
    <x v="4"/>
    <s v="Free"/>
    <n v="1"/>
    <n v="0"/>
    <n v="0"/>
    <n v="0"/>
    <n v="0"/>
    <n v="0"/>
    <n v="0"/>
    <m/>
    <n v="66.7"/>
    <n v="1"/>
  </r>
  <r>
    <s v="USR-101297"/>
    <d v="2025-05-31T00:00:00"/>
    <x v="1"/>
    <s v="South"/>
    <x v="0"/>
    <x v="3"/>
    <s v="Premium"/>
    <n v="1"/>
    <n v="1"/>
    <n v="1"/>
    <n v="1"/>
    <n v="1496.09"/>
    <n v="0"/>
    <n v="0"/>
    <n v="7"/>
    <n v="60.4"/>
    <n v="1"/>
  </r>
  <r>
    <s v="USR-101298"/>
    <d v="2025-05-10T00:00:00"/>
    <x v="1"/>
    <s v="North"/>
    <x v="1"/>
    <x v="3"/>
    <s v="Free"/>
    <n v="0"/>
    <n v="0"/>
    <n v="0"/>
    <n v="0"/>
    <n v="0"/>
    <n v="1"/>
    <n v="0"/>
    <m/>
    <n v="72.900000000000006"/>
    <n v="1"/>
  </r>
  <r>
    <s v="USR-101299"/>
    <d v="2025-05-17T00:00:00"/>
    <x v="1"/>
    <s v="West"/>
    <x v="1"/>
    <x v="1"/>
    <s v="Free"/>
    <n v="0"/>
    <n v="0"/>
    <n v="0"/>
    <n v="0"/>
    <n v="0"/>
    <n v="3"/>
    <n v="0"/>
    <m/>
    <m/>
    <n v="1"/>
  </r>
  <r>
    <s v="USR-101300"/>
    <d v="2025-01-18T00:00:00"/>
    <x v="1"/>
    <s v="South"/>
    <x v="1"/>
    <x v="1"/>
    <s v="Premium"/>
    <n v="1"/>
    <n v="0"/>
    <n v="0"/>
    <n v="0"/>
    <n v="0"/>
    <n v="0"/>
    <n v="0"/>
    <m/>
    <n v="55.2"/>
    <n v="1"/>
  </r>
  <r>
    <s v="USR-101301"/>
    <d v="2025-05-04T00:00:00"/>
    <x v="1"/>
    <s v="West"/>
    <x v="1"/>
    <x v="4"/>
    <s v="Free"/>
    <n v="1"/>
    <n v="0"/>
    <n v="0"/>
    <n v="0"/>
    <n v="0"/>
    <n v="0"/>
    <n v="0"/>
    <m/>
    <n v="67.8"/>
    <n v="1"/>
  </r>
  <r>
    <s v="USR-101302"/>
    <d v="2025-03-25T00:00:00"/>
    <x v="1"/>
    <s v="North"/>
    <x v="1"/>
    <x v="1"/>
    <s v="Free"/>
    <n v="1"/>
    <n v="0"/>
    <n v="0"/>
    <n v="0"/>
    <n v="0"/>
    <n v="2"/>
    <n v="0"/>
    <m/>
    <n v="70"/>
    <n v="1"/>
  </r>
  <r>
    <s v="USR-101303"/>
    <d v="2025-02-27T00:00:00"/>
    <x v="1"/>
    <s v="North"/>
    <x v="1"/>
    <x v="4"/>
    <s v="Basic"/>
    <n v="1"/>
    <n v="1"/>
    <n v="1"/>
    <n v="0"/>
    <n v="0"/>
    <n v="0"/>
    <n v="0"/>
    <m/>
    <n v="51.1"/>
    <n v="1"/>
  </r>
  <r>
    <s v="USR-101304"/>
    <d v="2025-01-14T00:00:00"/>
    <x v="1"/>
    <s v="West"/>
    <x v="1"/>
    <x v="2"/>
    <s v="Basic"/>
    <n v="1"/>
    <n v="1"/>
    <n v="1"/>
    <n v="0"/>
    <n v="0"/>
    <n v="0"/>
    <n v="0"/>
    <m/>
    <n v="57"/>
    <n v="1"/>
  </r>
  <r>
    <s v="USR-101305"/>
    <d v="2025-04-11T00:00:00"/>
    <x v="1"/>
    <s v="East"/>
    <x v="1"/>
    <x v="4"/>
    <s v="Free"/>
    <n v="0"/>
    <n v="0"/>
    <n v="0"/>
    <n v="0"/>
    <n v="0"/>
    <n v="1"/>
    <n v="0"/>
    <m/>
    <n v="47.1"/>
    <n v="1"/>
  </r>
  <r>
    <s v="USR-101306"/>
    <d v="2025-03-26T00:00:00"/>
    <x v="1"/>
    <s v="East"/>
    <x v="0"/>
    <x v="4"/>
    <s v="Basic"/>
    <n v="0"/>
    <n v="0"/>
    <n v="0"/>
    <n v="0"/>
    <n v="0"/>
    <n v="0"/>
    <n v="0"/>
    <m/>
    <n v="30.7"/>
    <n v="1"/>
  </r>
  <r>
    <s v="USR-101307"/>
    <d v="2025-02-12T00:00:00"/>
    <x v="1"/>
    <s v="West"/>
    <x v="0"/>
    <x v="4"/>
    <s v="Free"/>
    <n v="1"/>
    <n v="0"/>
    <n v="0"/>
    <n v="0"/>
    <n v="0"/>
    <n v="0"/>
    <n v="0"/>
    <m/>
    <n v="57.3"/>
    <n v="1"/>
  </r>
  <r>
    <s v="USR-101308"/>
    <d v="2025-02-18T00:00:00"/>
    <x v="1"/>
    <s v="West"/>
    <x v="2"/>
    <x v="2"/>
    <s v="Basic"/>
    <n v="1"/>
    <n v="0"/>
    <n v="0"/>
    <n v="0"/>
    <n v="0"/>
    <n v="0"/>
    <n v="0"/>
    <m/>
    <n v="70"/>
    <n v="1"/>
  </r>
  <r>
    <s v="USR-101309"/>
    <d v="2025-05-25T00:00:00"/>
    <x v="1"/>
    <s v="East"/>
    <x v="0"/>
    <x v="4"/>
    <s v="Free"/>
    <n v="1"/>
    <n v="1"/>
    <n v="1"/>
    <n v="0"/>
    <n v="0"/>
    <n v="0"/>
    <n v="0"/>
    <m/>
    <n v="59.7"/>
    <n v="1"/>
  </r>
  <r>
    <s v="USR-101310"/>
    <d v="2025-05-23T00:00:00"/>
    <x v="1"/>
    <s v="East"/>
    <x v="0"/>
    <x v="2"/>
    <s v="Basic"/>
    <n v="1"/>
    <n v="0"/>
    <n v="0"/>
    <n v="0"/>
    <n v="0"/>
    <n v="0"/>
    <n v="0"/>
    <m/>
    <n v="68.8"/>
    <n v="1"/>
  </r>
  <r>
    <s v="USR-101311"/>
    <d v="2025-01-16T00:00:00"/>
    <x v="1"/>
    <s v="North"/>
    <x v="0"/>
    <x v="1"/>
    <s v="Free"/>
    <n v="1"/>
    <n v="1"/>
    <n v="1"/>
    <n v="1"/>
    <n v="428.37"/>
    <n v="0"/>
    <n v="0"/>
    <n v="9"/>
    <n v="88.3"/>
    <n v="1"/>
  </r>
  <r>
    <s v="USR-101312"/>
    <d v="2025-01-19T00:00:00"/>
    <x v="1"/>
    <s v="West"/>
    <x v="0"/>
    <x v="0"/>
    <s v="Basic"/>
    <n v="0"/>
    <n v="0"/>
    <n v="0"/>
    <n v="0"/>
    <n v="0"/>
    <n v="0"/>
    <n v="0"/>
    <m/>
    <n v="83.4"/>
    <n v="1"/>
  </r>
  <r>
    <s v="USR-101313"/>
    <d v="2025-05-18T00:00:00"/>
    <x v="1"/>
    <s v="South"/>
    <x v="1"/>
    <x v="3"/>
    <s v="Free"/>
    <n v="0"/>
    <n v="0"/>
    <n v="0"/>
    <n v="0"/>
    <n v="0"/>
    <n v="1"/>
    <n v="0"/>
    <m/>
    <n v="81.599999999999994"/>
    <n v="1"/>
  </r>
  <r>
    <s v="USR-101314"/>
    <d v="2025-01-23T00:00:00"/>
    <x v="1"/>
    <s v="East"/>
    <x v="2"/>
    <x v="4"/>
    <s v="Premium"/>
    <n v="1"/>
    <n v="0"/>
    <n v="0"/>
    <n v="0"/>
    <n v="0"/>
    <n v="0"/>
    <n v="0"/>
    <m/>
    <n v="91.6"/>
    <n v="1"/>
  </r>
  <r>
    <s v="USR-101315"/>
    <d v="2025-01-08T00:00:00"/>
    <x v="1"/>
    <s v="East"/>
    <x v="2"/>
    <x v="5"/>
    <s v="Premium"/>
    <n v="1"/>
    <n v="1"/>
    <n v="1"/>
    <n v="0"/>
    <n v="0"/>
    <n v="1"/>
    <n v="0"/>
    <m/>
    <n v="61.5"/>
    <n v="1"/>
  </r>
  <r>
    <s v="USR-101316"/>
    <d v="2025-02-19T00:00:00"/>
    <x v="1"/>
    <s v="North"/>
    <x v="1"/>
    <x v="1"/>
    <s v="Premium"/>
    <n v="0"/>
    <n v="0"/>
    <n v="0"/>
    <n v="0"/>
    <n v="0"/>
    <n v="0"/>
    <n v="0"/>
    <m/>
    <m/>
    <n v="1"/>
  </r>
  <r>
    <s v="USR-101317"/>
    <d v="2025-02-10T00:00:00"/>
    <x v="1"/>
    <s v="South"/>
    <x v="1"/>
    <x v="1"/>
    <s v="Free"/>
    <n v="1"/>
    <n v="0"/>
    <n v="0"/>
    <n v="0"/>
    <n v="0"/>
    <n v="0"/>
    <n v="0"/>
    <m/>
    <n v="32.6"/>
    <n v="1"/>
  </r>
  <r>
    <s v="USR-101318"/>
    <d v="2025-04-13T00:00:00"/>
    <x v="1"/>
    <s v="South"/>
    <x v="1"/>
    <x v="2"/>
    <s v="Free"/>
    <n v="1"/>
    <n v="0"/>
    <n v="0"/>
    <n v="0"/>
    <n v="0"/>
    <n v="0"/>
    <n v="0"/>
    <m/>
    <n v="73.900000000000006"/>
    <n v="1"/>
  </r>
  <r>
    <s v="USR-101319"/>
    <d v="2025-05-20T00:00:00"/>
    <x v="1"/>
    <s v="East"/>
    <x v="1"/>
    <x v="1"/>
    <s v="Free"/>
    <n v="1"/>
    <n v="1"/>
    <n v="1"/>
    <n v="1"/>
    <n v="444.06"/>
    <n v="0"/>
    <n v="0"/>
    <n v="9"/>
    <n v="99.9"/>
    <n v="1"/>
  </r>
  <r>
    <s v="USR-101320"/>
    <d v="2025-05-13T00:00:00"/>
    <x v="1"/>
    <s v="South"/>
    <x v="1"/>
    <x v="2"/>
    <s v="Basic"/>
    <n v="1"/>
    <n v="1"/>
    <n v="0"/>
    <n v="0"/>
    <n v="0"/>
    <n v="1"/>
    <n v="0"/>
    <m/>
    <n v="62.4"/>
    <n v="1"/>
  </r>
  <r>
    <s v="USR-101321"/>
    <d v="2025-05-28T00:00:00"/>
    <x v="1"/>
    <s v="South"/>
    <x v="0"/>
    <x v="2"/>
    <s v="Basic"/>
    <n v="1"/>
    <n v="0"/>
    <n v="0"/>
    <n v="0"/>
    <n v="0"/>
    <n v="0"/>
    <n v="0"/>
    <m/>
    <n v="46.1"/>
    <n v="1"/>
  </r>
  <r>
    <s v="USR-101322"/>
    <d v="2025-03-19T00:00:00"/>
    <x v="1"/>
    <s v="West"/>
    <x v="1"/>
    <x v="1"/>
    <s v="Free"/>
    <n v="1"/>
    <n v="1"/>
    <n v="1"/>
    <n v="1"/>
    <n v="2660.21"/>
    <n v="0"/>
    <n v="0"/>
    <n v="3"/>
    <n v="73.900000000000006"/>
    <n v="1"/>
  </r>
  <r>
    <s v="USR-101323"/>
    <d v="2025-02-03T00:00:00"/>
    <x v="1"/>
    <s v="North"/>
    <x v="1"/>
    <x v="0"/>
    <s v="Premium"/>
    <n v="0"/>
    <n v="0"/>
    <n v="0"/>
    <n v="0"/>
    <n v="0"/>
    <n v="0"/>
    <n v="0"/>
    <m/>
    <n v="90"/>
    <n v="1"/>
  </r>
  <r>
    <s v="USR-101324"/>
    <d v="2025-02-26T00:00:00"/>
    <x v="1"/>
    <s v="South"/>
    <x v="1"/>
    <x v="0"/>
    <s v="Basic"/>
    <n v="1"/>
    <n v="0"/>
    <n v="0"/>
    <n v="0"/>
    <n v="0"/>
    <n v="1"/>
    <n v="0"/>
    <m/>
    <n v="68.8"/>
    <n v="1"/>
  </r>
  <r>
    <s v="USR-101325"/>
    <d v="2025-01-26T00:00:00"/>
    <x v="1"/>
    <s v="West"/>
    <x v="1"/>
    <x v="2"/>
    <s v="Free"/>
    <n v="1"/>
    <n v="0"/>
    <n v="0"/>
    <n v="0"/>
    <n v="0"/>
    <n v="0"/>
    <n v="0"/>
    <m/>
    <n v="66.599999999999994"/>
    <n v="1"/>
  </r>
  <r>
    <s v="USR-101326"/>
    <d v="2025-05-13T00:00:00"/>
    <x v="1"/>
    <s v="North"/>
    <x v="1"/>
    <x v="1"/>
    <s v="Premium"/>
    <n v="1"/>
    <n v="0"/>
    <n v="0"/>
    <n v="0"/>
    <n v="0"/>
    <n v="0"/>
    <n v="0"/>
    <m/>
    <n v="49.7"/>
    <n v="1"/>
  </r>
  <r>
    <s v="USR-101327"/>
    <d v="2025-02-02T00:00:00"/>
    <x v="1"/>
    <s v="South"/>
    <x v="1"/>
    <x v="2"/>
    <s v="Basic"/>
    <n v="0"/>
    <n v="0"/>
    <n v="0"/>
    <n v="0"/>
    <n v="0"/>
    <n v="0"/>
    <n v="0"/>
    <m/>
    <n v="67.900000000000006"/>
    <n v="1"/>
  </r>
  <r>
    <s v="USR-101328"/>
    <d v="2025-04-30T00:00:00"/>
    <x v="1"/>
    <s v="West"/>
    <x v="1"/>
    <x v="5"/>
    <s v="Basic"/>
    <n v="0"/>
    <n v="0"/>
    <n v="0"/>
    <n v="0"/>
    <n v="0"/>
    <n v="0"/>
    <n v="0"/>
    <m/>
    <n v="66.900000000000006"/>
    <n v="1"/>
  </r>
  <r>
    <s v="USR-101329"/>
    <d v="2025-03-29T00:00:00"/>
    <x v="1"/>
    <s v="East"/>
    <x v="1"/>
    <x v="1"/>
    <s v="Free"/>
    <n v="0"/>
    <n v="0"/>
    <n v="0"/>
    <n v="0"/>
    <n v="0"/>
    <n v="0"/>
    <n v="0"/>
    <m/>
    <n v="46.1"/>
    <n v="1"/>
  </r>
  <r>
    <s v="USR-101330"/>
    <d v="2025-04-09T00:00:00"/>
    <x v="1"/>
    <s v="West"/>
    <x v="0"/>
    <x v="3"/>
    <s v="Premium"/>
    <n v="1"/>
    <n v="0"/>
    <n v="0"/>
    <n v="0"/>
    <n v="0"/>
    <n v="0"/>
    <n v="0"/>
    <m/>
    <n v="85.6"/>
    <n v="1"/>
  </r>
  <r>
    <s v="USR-101331"/>
    <d v="2025-01-22T00:00:00"/>
    <x v="1"/>
    <s v="South"/>
    <x v="2"/>
    <x v="1"/>
    <s v="Free"/>
    <n v="0"/>
    <n v="0"/>
    <n v="0"/>
    <n v="0"/>
    <n v="0"/>
    <n v="0"/>
    <n v="0"/>
    <m/>
    <n v="39.6"/>
    <n v="1"/>
  </r>
  <r>
    <s v="USR-101332"/>
    <d v="2025-01-27T00:00:00"/>
    <x v="1"/>
    <s v="South"/>
    <x v="1"/>
    <x v="1"/>
    <s v="Basic"/>
    <n v="1"/>
    <n v="0"/>
    <n v="0"/>
    <n v="0"/>
    <n v="0"/>
    <n v="0"/>
    <n v="0"/>
    <m/>
    <n v="52.5"/>
    <n v="1"/>
  </r>
  <r>
    <s v="USR-101333"/>
    <d v="2025-01-22T00:00:00"/>
    <x v="1"/>
    <s v="East"/>
    <x v="1"/>
    <x v="4"/>
    <s v="Premium"/>
    <n v="1"/>
    <n v="0"/>
    <n v="0"/>
    <n v="0"/>
    <n v="0"/>
    <n v="0"/>
    <n v="0"/>
    <m/>
    <n v="73.5"/>
    <n v="1"/>
  </r>
  <r>
    <s v="USR-101334"/>
    <d v="2025-01-06T00:00:00"/>
    <x v="1"/>
    <s v="West"/>
    <x v="0"/>
    <x v="2"/>
    <s v="Free"/>
    <n v="0"/>
    <n v="0"/>
    <n v="0"/>
    <n v="0"/>
    <n v="0"/>
    <n v="0"/>
    <n v="0"/>
    <m/>
    <n v="62.5"/>
    <n v="1"/>
  </r>
  <r>
    <s v="USR-101335"/>
    <d v="2025-04-16T00:00:00"/>
    <x v="1"/>
    <s v="South"/>
    <x v="3"/>
    <x v="1"/>
    <s v="Free"/>
    <n v="1"/>
    <n v="0"/>
    <n v="0"/>
    <n v="0"/>
    <n v="0"/>
    <n v="0"/>
    <n v="0"/>
    <m/>
    <n v="76.900000000000006"/>
    <n v="1"/>
  </r>
  <r>
    <s v="USR-101336"/>
    <d v="2025-04-14T00:00:00"/>
    <x v="1"/>
    <s v="South"/>
    <x v="1"/>
    <x v="1"/>
    <s v="Free"/>
    <n v="1"/>
    <n v="0"/>
    <n v="0"/>
    <n v="0"/>
    <n v="0"/>
    <n v="0"/>
    <n v="0"/>
    <m/>
    <n v="51.4"/>
    <n v="1"/>
  </r>
  <r>
    <s v="USR-101337"/>
    <d v="2025-02-22T00:00:00"/>
    <x v="1"/>
    <s v="West"/>
    <x v="1"/>
    <x v="2"/>
    <s v="Basic"/>
    <n v="1"/>
    <n v="0"/>
    <n v="0"/>
    <n v="0"/>
    <n v="0"/>
    <n v="0"/>
    <n v="0"/>
    <m/>
    <n v="59.3"/>
    <n v="1"/>
  </r>
  <r>
    <s v="USR-101338"/>
    <d v="2025-03-09T00:00:00"/>
    <x v="1"/>
    <s v="North"/>
    <x v="1"/>
    <x v="1"/>
    <s v="Basic"/>
    <n v="0"/>
    <n v="0"/>
    <n v="0"/>
    <n v="0"/>
    <n v="0"/>
    <n v="0"/>
    <n v="0"/>
    <m/>
    <n v="74.900000000000006"/>
    <n v="1"/>
  </r>
  <r>
    <s v="USR-101339"/>
    <d v="2025-04-20T00:00:00"/>
    <x v="1"/>
    <s v="West"/>
    <x v="0"/>
    <x v="1"/>
    <s v="Free"/>
    <n v="1"/>
    <n v="0"/>
    <n v="0"/>
    <n v="0"/>
    <n v="0"/>
    <n v="0"/>
    <n v="0"/>
    <m/>
    <n v="67"/>
    <n v="1"/>
  </r>
  <r>
    <s v="USR-101340"/>
    <d v="2025-03-10T00:00:00"/>
    <x v="1"/>
    <s v="South"/>
    <x v="1"/>
    <x v="0"/>
    <s v="Free"/>
    <n v="0"/>
    <n v="0"/>
    <n v="0"/>
    <n v="0"/>
    <n v="0"/>
    <n v="0"/>
    <n v="0"/>
    <m/>
    <n v="63.6"/>
    <n v="1"/>
  </r>
  <r>
    <s v="USR-101341"/>
    <d v="2025-02-21T00:00:00"/>
    <x v="1"/>
    <s v="South"/>
    <x v="1"/>
    <x v="0"/>
    <s v="Free"/>
    <n v="1"/>
    <n v="1"/>
    <n v="0"/>
    <n v="0"/>
    <n v="0"/>
    <n v="1"/>
    <n v="0"/>
    <m/>
    <n v="58.4"/>
    <n v="1"/>
  </r>
  <r>
    <s v="USR-101342"/>
    <d v="2025-01-06T00:00:00"/>
    <x v="1"/>
    <s v="North"/>
    <x v="0"/>
    <x v="4"/>
    <s v="Free"/>
    <n v="1"/>
    <n v="0"/>
    <n v="0"/>
    <n v="0"/>
    <n v="0"/>
    <n v="0"/>
    <n v="0"/>
    <m/>
    <n v="36.799999999999997"/>
    <n v="1"/>
  </r>
  <r>
    <s v="USR-101343"/>
    <d v="2025-04-17T00:00:00"/>
    <x v="1"/>
    <s v="South"/>
    <x v="1"/>
    <x v="1"/>
    <s v="Premium"/>
    <n v="1"/>
    <n v="0"/>
    <n v="0"/>
    <n v="0"/>
    <n v="0"/>
    <n v="0"/>
    <n v="0"/>
    <m/>
    <n v="71.599999999999994"/>
    <n v="1"/>
  </r>
  <r>
    <s v="USR-101344"/>
    <d v="2025-05-23T00:00:00"/>
    <x v="1"/>
    <s v="South"/>
    <x v="1"/>
    <x v="0"/>
    <s v="Basic"/>
    <n v="1"/>
    <n v="1"/>
    <n v="0"/>
    <n v="0"/>
    <n v="0"/>
    <n v="1"/>
    <n v="0"/>
    <m/>
    <n v="79.7"/>
    <n v="1"/>
  </r>
  <r>
    <s v="USR-101345"/>
    <d v="2025-03-14T00:00:00"/>
    <x v="1"/>
    <s v="West"/>
    <x v="0"/>
    <x v="1"/>
    <s v="Basic"/>
    <n v="1"/>
    <n v="0"/>
    <n v="0"/>
    <n v="0"/>
    <n v="0"/>
    <n v="1"/>
    <n v="0"/>
    <m/>
    <n v="56.5"/>
    <n v="1"/>
  </r>
  <r>
    <s v="USR-101346"/>
    <d v="2025-04-21T00:00:00"/>
    <x v="1"/>
    <s v="North"/>
    <x v="1"/>
    <x v="4"/>
    <s v="Premium"/>
    <n v="1"/>
    <n v="0"/>
    <n v="0"/>
    <n v="0"/>
    <n v="0"/>
    <n v="0"/>
    <n v="0"/>
    <m/>
    <n v="44.7"/>
    <n v="1"/>
  </r>
  <r>
    <s v="USR-101347"/>
    <d v="2025-01-03T00:00:00"/>
    <x v="1"/>
    <s v="South"/>
    <x v="1"/>
    <x v="4"/>
    <s v="Free"/>
    <n v="1"/>
    <n v="1"/>
    <n v="1"/>
    <n v="0"/>
    <n v="0"/>
    <n v="1"/>
    <n v="0"/>
    <m/>
    <n v="66"/>
    <n v="1"/>
  </r>
  <r>
    <s v="USR-101348"/>
    <d v="2025-05-09T00:00:00"/>
    <x v="1"/>
    <s v="North"/>
    <x v="0"/>
    <x v="1"/>
    <s v="Basic"/>
    <n v="1"/>
    <n v="0"/>
    <n v="0"/>
    <n v="0"/>
    <n v="0"/>
    <n v="0"/>
    <n v="0"/>
    <m/>
    <n v="73"/>
    <n v="1"/>
  </r>
  <r>
    <s v="USR-101349"/>
    <d v="2025-05-22T00:00:00"/>
    <x v="1"/>
    <s v="South"/>
    <x v="1"/>
    <x v="1"/>
    <s v="Basic"/>
    <n v="1"/>
    <n v="1"/>
    <n v="1"/>
    <n v="0"/>
    <n v="0"/>
    <n v="1"/>
    <n v="0"/>
    <m/>
    <n v="72.5"/>
    <n v="1"/>
  </r>
  <r>
    <s v="USR-101350"/>
    <d v="2025-05-07T00:00:00"/>
    <x v="1"/>
    <s v="South"/>
    <x v="0"/>
    <x v="2"/>
    <s v="Free"/>
    <n v="1"/>
    <n v="1"/>
    <n v="1"/>
    <n v="1"/>
    <n v="323.60000000000002"/>
    <n v="0"/>
    <n v="0"/>
    <n v="6"/>
    <n v="100"/>
    <n v="1"/>
  </r>
  <r>
    <s v="USR-101351"/>
    <d v="2025-02-08T00:00:00"/>
    <x v="1"/>
    <s v="East"/>
    <x v="1"/>
    <x v="4"/>
    <s v="Free"/>
    <n v="0"/>
    <n v="0"/>
    <n v="0"/>
    <n v="0"/>
    <n v="0"/>
    <n v="1"/>
    <n v="0"/>
    <m/>
    <n v="90.5"/>
    <n v="1"/>
  </r>
  <r>
    <s v="USR-101352"/>
    <d v="2025-04-03T00:00:00"/>
    <x v="1"/>
    <s v="North"/>
    <x v="2"/>
    <x v="4"/>
    <s v="Basic"/>
    <n v="1"/>
    <n v="0"/>
    <n v="0"/>
    <n v="0"/>
    <n v="0"/>
    <n v="0"/>
    <n v="0"/>
    <m/>
    <n v="70.2"/>
    <n v="1"/>
  </r>
  <r>
    <s v="USR-101353"/>
    <d v="2025-04-17T00:00:00"/>
    <x v="1"/>
    <s v="East"/>
    <x v="0"/>
    <x v="2"/>
    <s v="Free"/>
    <n v="1"/>
    <n v="0"/>
    <n v="0"/>
    <n v="0"/>
    <n v="0"/>
    <n v="1"/>
    <n v="0"/>
    <m/>
    <n v="67.099999999999994"/>
    <n v="1"/>
  </r>
  <r>
    <s v="USR-101354"/>
    <d v="2025-05-04T00:00:00"/>
    <x v="1"/>
    <s v="East"/>
    <x v="1"/>
    <x v="1"/>
    <s v="Free"/>
    <n v="0"/>
    <n v="0"/>
    <n v="0"/>
    <n v="0"/>
    <n v="0"/>
    <n v="0"/>
    <n v="0"/>
    <m/>
    <n v="54.5"/>
    <n v="1"/>
  </r>
  <r>
    <s v="USR-101355"/>
    <d v="2025-05-11T00:00:00"/>
    <x v="1"/>
    <s v="West"/>
    <x v="0"/>
    <x v="1"/>
    <s v="Free"/>
    <n v="1"/>
    <n v="0"/>
    <n v="0"/>
    <n v="0"/>
    <n v="0"/>
    <n v="0"/>
    <n v="0"/>
    <m/>
    <n v="63.4"/>
    <n v="1"/>
  </r>
  <r>
    <s v="USR-101356"/>
    <d v="2025-03-01T00:00:00"/>
    <x v="1"/>
    <s v="North"/>
    <x v="0"/>
    <x v="5"/>
    <s v="Free"/>
    <n v="1"/>
    <n v="1"/>
    <n v="1"/>
    <n v="0"/>
    <n v="0"/>
    <n v="0"/>
    <n v="0"/>
    <m/>
    <n v="84.3"/>
    <n v="1"/>
  </r>
  <r>
    <s v="USR-101357"/>
    <d v="2025-02-20T00:00:00"/>
    <x v="1"/>
    <s v="West"/>
    <x v="0"/>
    <x v="1"/>
    <s v="Free"/>
    <n v="1"/>
    <n v="0"/>
    <n v="0"/>
    <n v="0"/>
    <n v="0"/>
    <n v="1"/>
    <n v="0"/>
    <m/>
    <n v="55"/>
    <n v="1"/>
  </r>
  <r>
    <s v="USR-101358"/>
    <d v="2025-05-09T00:00:00"/>
    <x v="1"/>
    <s v="West"/>
    <x v="1"/>
    <x v="4"/>
    <s v="Free"/>
    <n v="1"/>
    <n v="0"/>
    <n v="0"/>
    <n v="0"/>
    <n v="0"/>
    <n v="0"/>
    <n v="0"/>
    <m/>
    <n v="63.6"/>
    <n v="1"/>
  </r>
  <r>
    <s v="USR-101359"/>
    <d v="2025-04-30T00:00:00"/>
    <x v="1"/>
    <s v="West"/>
    <x v="1"/>
    <x v="1"/>
    <s v="Free"/>
    <n v="1"/>
    <n v="0"/>
    <n v="0"/>
    <n v="0"/>
    <n v="0"/>
    <n v="0"/>
    <n v="0"/>
    <m/>
    <n v="55.5"/>
    <n v="1"/>
  </r>
  <r>
    <s v="USR-101360"/>
    <d v="2025-01-07T00:00:00"/>
    <x v="1"/>
    <s v="South"/>
    <x v="1"/>
    <x v="4"/>
    <s v="Basic"/>
    <n v="0"/>
    <n v="0"/>
    <n v="0"/>
    <n v="0"/>
    <n v="0"/>
    <n v="0"/>
    <n v="0"/>
    <m/>
    <n v="50.5"/>
    <n v="1"/>
  </r>
  <r>
    <s v="USR-101361"/>
    <d v="2025-04-30T00:00:00"/>
    <x v="1"/>
    <s v="North"/>
    <x v="1"/>
    <x v="4"/>
    <s v="Basic"/>
    <n v="1"/>
    <n v="0"/>
    <n v="0"/>
    <n v="0"/>
    <n v="0"/>
    <n v="0"/>
    <n v="0"/>
    <m/>
    <n v="45.3"/>
    <n v="1"/>
  </r>
  <r>
    <s v="USR-101362"/>
    <d v="2025-05-23T00:00:00"/>
    <x v="1"/>
    <s v="East"/>
    <x v="1"/>
    <x v="1"/>
    <s v="Basic"/>
    <n v="1"/>
    <n v="0"/>
    <n v="0"/>
    <n v="0"/>
    <n v="0"/>
    <n v="0"/>
    <n v="0"/>
    <m/>
    <n v="33.6"/>
    <n v="1"/>
  </r>
  <r>
    <s v="USR-101363"/>
    <d v="2025-03-12T00:00:00"/>
    <x v="1"/>
    <s v="South"/>
    <x v="1"/>
    <x v="2"/>
    <s v="Premium"/>
    <n v="1"/>
    <n v="1"/>
    <n v="1"/>
    <n v="0"/>
    <n v="0"/>
    <n v="0"/>
    <n v="0"/>
    <m/>
    <n v="88.2"/>
    <n v="1"/>
  </r>
  <r>
    <s v="USR-101364"/>
    <d v="2025-02-17T00:00:00"/>
    <x v="1"/>
    <s v="North"/>
    <x v="1"/>
    <x v="1"/>
    <s v="Premium"/>
    <n v="1"/>
    <n v="0"/>
    <n v="0"/>
    <n v="0"/>
    <n v="0"/>
    <n v="0"/>
    <n v="0"/>
    <m/>
    <n v="51.8"/>
    <n v="1"/>
  </r>
  <r>
    <s v="USR-101365"/>
    <d v="2025-05-27T00:00:00"/>
    <x v="1"/>
    <s v="North"/>
    <x v="0"/>
    <x v="1"/>
    <s v="Basic"/>
    <n v="0"/>
    <n v="0"/>
    <n v="0"/>
    <n v="0"/>
    <n v="0"/>
    <n v="0"/>
    <n v="0"/>
    <m/>
    <n v="87.9"/>
    <n v="1"/>
  </r>
  <r>
    <s v="USR-101366"/>
    <d v="2025-05-10T00:00:00"/>
    <x v="1"/>
    <s v="South"/>
    <x v="1"/>
    <x v="4"/>
    <s v="Premium"/>
    <n v="1"/>
    <n v="0"/>
    <n v="0"/>
    <n v="0"/>
    <n v="0"/>
    <n v="2"/>
    <n v="0"/>
    <m/>
    <n v="70.5"/>
    <n v="1"/>
  </r>
  <r>
    <s v="USR-101367"/>
    <d v="2025-01-20T00:00:00"/>
    <x v="1"/>
    <s v="North"/>
    <x v="1"/>
    <x v="1"/>
    <s v="Basic"/>
    <n v="1"/>
    <n v="1"/>
    <n v="0"/>
    <n v="0"/>
    <n v="0"/>
    <n v="2"/>
    <n v="0"/>
    <m/>
    <n v="58.5"/>
    <n v="1"/>
  </r>
  <r>
    <s v="USR-101368"/>
    <d v="2025-01-19T00:00:00"/>
    <x v="1"/>
    <s v="East"/>
    <x v="1"/>
    <x v="3"/>
    <s v="Free"/>
    <n v="1"/>
    <n v="0"/>
    <n v="0"/>
    <n v="0"/>
    <n v="0"/>
    <n v="0"/>
    <n v="0"/>
    <m/>
    <n v="65.599999999999994"/>
    <n v="1"/>
  </r>
  <r>
    <s v="USR-101369"/>
    <d v="2025-03-07T00:00:00"/>
    <x v="1"/>
    <s v="West"/>
    <x v="0"/>
    <x v="2"/>
    <s v="Basic"/>
    <n v="1"/>
    <n v="1"/>
    <n v="0"/>
    <n v="0"/>
    <n v="0"/>
    <n v="0"/>
    <n v="0"/>
    <m/>
    <n v="62.7"/>
    <n v="1"/>
  </r>
  <r>
    <s v="USR-101370"/>
    <d v="2025-02-02T00:00:00"/>
    <x v="1"/>
    <s v="East"/>
    <x v="1"/>
    <x v="1"/>
    <s v="Free"/>
    <n v="0"/>
    <n v="0"/>
    <n v="0"/>
    <n v="0"/>
    <n v="0"/>
    <n v="1"/>
    <n v="0"/>
    <m/>
    <n v="50.9"/>
    <n v="1"/>
  </r>
  <r>
    <s v="USR-101371"/>
    <d v="2025-03-07T00:00:00"/>
    <x v="1"/>
    <s v="North"/>
    <x v="1"/>
    <x v="1"/>
    <s v="Free"/>
    <n v="0"/>
    <n v="0"/>
    <n v="0"/>
    <n v="0"/>
    <n v="0"/>
    <n v="1"/>
    <n v="0"/>
    <m/>
    <n v="60.6"/>
    <n v="1"/>
  </r>
  <r>
    <s v="USR-101372"/>
    <d v="2025-03-30T00:00:00"/>
    <x v="1"/>
    <s v="East"/>
    <x v="0"/>
    <x v="1"/>
    <s v="Free"/>
    <n v="1"/>
    <n v="1"/>
    <n v="1"/>
    <n v="0"/>
    <n v="0"/>
    <n v="0"/>
    <n v="0"/>
    <m/>
    <n v="76.599999999999994"/>
    <n v="1"/>
  </r>
  <r>
    <s v="USR-101373"/>
    <d v="2025-05-05T00:00:00"/>
    <x v="1"/>
    <s v="East"/>
    <x v="0"/>
    <x v="2"/>
    <s v="Free"/>
    <n v="1"/>
    <n v="1"/>
    <n v="1"/>
    <n v="0"/>
    <n v="0"/>
    <n v="0"/>
    <n v="0"/>
    <m/>
    <n v="54.4"/>
    <n v="1"/>
  </r>
  <r>
    <s v="USR-101374"/>
    <d v="2025-04-11T00:00:00"/>
    <x v="1"/>
    <s v="South"/>
    <x v="1"/>
    <x v="4"/>
    <s v="Free"/>
    <n v="1"/>
    <n v="0"/>
    <n v="0"/>
    <n v="0"/>
    <n v="0"/>
    <n v="0"/>
    <n v="0"/>
    <m/>
    <n v="31.2"/>
    <n v="1"/>
  </r>
  <r>
    <s v="USR-101375"/>
    <d v="2025-03-25T00:00:00"/>
    <x v="1"/>
    <s v="West"/>
    <x v="0"/>
    <x v="0"/>
    <s v="Premium"/>
    <n v="1"/>
    <n v="0"/>
    <n v="0"/>
    <n v="0"/>
    <n v="0"/>
    <n v="0"/>
    <n v="0"/>
    <m/>
    <n v="72.400000000000006"/>
    <n v="1"/>
  </r>
  <r>
    <s v="USR-101376"/>
    <d v="2025-03-24T00:00:00"/>
    <x v="1"/>
    <s v="North"/>
    <x v="1"/>
    <x v="1"/>
    <s v="Premium"/>
    <n v="1"/>
    <n v="0"/>
    <n v="0"/>
    <n v="0"/>
    <n v="0"/>
    <n v="0"/>
    <n v="0"/>
    <m/>
    <n v="74.5"/>
    <n v="1"/>
  </r>
  <r>
    <s v="USR-101377"/>
    <d v="2025-04-27T00:00:00"/>
    <x v="1"/>
    <s v="East"/>
    <x v="1"/>
    <x v="1"/>
    <s v="Basic"/>
    <n v="0"/>
    <n v="0"/>
    <n v="0"/>
    <n v="0"/>
    <n v="0"/>
    <n v="0"/>
    <n v="0"/>
    <m/>
    <n v="52.6"/>
    <n v="1"/>
  </r>
  <r>
    <s v="USR-101378"/>
    <d v="2025-01-25T00:00:00"/>
    <x v="1"/>
    <s v="North"/>
    <x v="0"/>
    <x v="2"/>
    <s v="Free"/>
    <n v="1"/>
    <n v="0"/>
    <n v="0"/>
    <n v="0"/>
    <n v="0"/>
    <n v="0"/>
    <n v="0"/>
    <m/>
    <n v="75.400000000000006"/>
    <n v="1"/>
  </r>
  <r>
    <s v="USR-101379"/>
    <d v="2025-02-17T00:00:00"/>
    <x v="1"/>
    <s v="North"/>
    <x v="2"/>
    <x v="4"/>
    <s v="Basic"/>
    <n v="1"/>
    <n v="1"/>
    <n v="1"/>
    <n v="1"/>
    <n v="751.33"/>
    <n v="0"/>
    <n v="0"/>
    <n v="9"/>
    <n v="34"/>
    <n v="1"/>
  </r>
  <r>
    <s v="USR-101380"/>
    <d v="2025-04-13T00:00:00"/>
    <x v="1"/>
    <s v="South"/>
    <x v="0"/>
    <x v="1"/>
    <s v="Free"/>
    <n v="1"/>
    <n v="0"/>
    <n v="0"/>
    <n v="0"/>
    <n v="0"/>
    <n v="0"/>
    <n v="0"/>
    <m/>
    <n v="67.099999999999994"/>
    <n v="1"/>
  </r>
  <r>
    <s v="USR-101381"/>
    <d v="2025-05-03T00:00:00"/>
    <x v="1"/>
    <s v="West"/>
    <x v="0"/>
    <x v="2"/>
    <s v="Premium"/>
    <n v="1"/>
    <n v="0"/>
    <n v="0"/>
    <n v="0"/>
    <n v="0"/>
    <n v="0"/>
    <n v="0"/>
    <m/>
    <n v="37.299999999999997"/>
    <n v="1"/>
  </r>
  <r>
    <s v="USR-101382"/>
    <d v="2025-04-29T00:00:00"/>
    <x v="1"/>
    <s v="West"/>
    <x v="1"/>
    <x v="0"/>
    <s v="Free"/>
    <n v="1"/>
    <n v="0"/>
    <n v="0"/>
    <n v="0"/>
    <n v="0"/>
    <n v="0"/>
    <n v="0"/>
    <m/>
    <n v="54.7"/>
    <n v="1"/>
  </r>
  <r>
    <s v="USR-101383"/>
    <d v="2025-05-03T00:00:00"/>
    <x v="1"/>
    <s v="East"/>
    <x v="0"/>
    <x v="2"/>
    <s v="Free"/>
    <n v="1"/>
    <n v="0"/>
    <n v="0"/>
    <n v="0"/>
    <n v="0"/>
    <n v="0"/>
    <n v="0"/>
    <m/>
    <n v="51.8"/>
    <n v="1"/>
  </r>
  <r>
    <s v="USR-101384"/>
    <d v="2025-04-28T00:00:00"/>
    <x v="1"/>
    <s v="West"/>
    <x v="1"/>
    <x v="2"/>
    <s v="Free"/>
    <n v="0"/>
    <n v="0"/>
    <n v="0"/>
    <n v="0"/>
    <n v="0"/>
    <n v="0"/>
    <n v="0"/>
    <m/>
    <n v="49.2"/>
    <n v="1"/>
  </r>
  <r>
    <s v="USR-101385"/>
    <d v="2025-01-21T00:00:00"/>
    <x v="1"/>
    <s v="West"/>
    <x v="1"/>
    <x v="1"/>
    <s v="Free"/>
    <n v="1"/>
    <n v="0"/>
    <n v="0"/>
    <n v="0"/>
    <n v="0"/>
    <n v="2"/>
    <n v="0"/>
    <m/>
    <n v="58.8"/>
    <n v="1"/>
  </r>
  <r>
    <s v="USR-101386"/>
    <d v="2025-01-21T00:00:00"/>
    <x v="1"/>
    <s v="North"/>
    <x v="2"/>
    <x v="2"/>
    <s v="Basic"/>
    <n v="0"/>
    <n v="0"/>
    <n v="0"/>
    <n v="0"/>
    <n v="0"/>
    <n v="1"/>
    <n v="0"/>
    <m/>
    <n v="59.1"/>
    <n v="1"/>
  </r>
  <r>
    <s v="USR-101387"/>
    <d v="2025-05-21T00:00:00"/>
    <x v="1"/>
    <s v="West"/>
    <x v="0"/>
    <x v="2"/>
    <s v="Free"/>
    <n v="1"/>
    <n v="0"/>
    <n v="0"/>
    <n v="0"/>
    <n v="0"/>
    <n v="2"/>
    <n v="0"/>
    <m/>
    <n v="49.6"/>
    <n v="1"/>
  </r>
  <r>
    <s v="USR-101388"/>
    <d v="2025-01-05T00:00:00"/>
    <x v="1"/>
    <s v="North"/>
    <x v="1"/>
    <x v="3"/>
    <s v="Free"/>
    <n v="0"/>
    <n v="0"/>
    <n v="0"/>
    <n v="0"/>
    <n v="0"/>
    <n v="0"/>
    <n v="0"/>
    <m/>
    <n v="58.2"/>
    <n v="1"/>
  </r>
  <r>
    <s v="USR-101389"/>
    <d v="2025-03-06T00:00:00"/>
    <x v="1"/>
    <s v="South"/>
    <x v="0"/>
    <x v="1"/>
    <s v="Free"/>
    <n v="1"/>
    <n v="0"/>
    <n v="0"/>
    <n v="0"/>
    <n v="0"/>
    <n v="0"/>
    <n v="0"/>
    <m/>
    <n v="66.8"/>
    <n v="1"/>
  </r>
  <r>
    <s v="USR-101390"/>
    <d v="2025-04-18T00:00:00"/>
    <x v="1"/>
    <s v="North"/>
    <x v="1"/>
    <x v="2"/>
    <s v="Free"/>
    <n v="1"/>
    <n v="0"/>
    <n v="0"/>
    <n v="0"/>
    <n v="0"/>
    <n v="3"/>
    <n v="0"/>
    <m/>
    <n v="58.3"/>
    <n v="1"/>
  </r>
  <r>
    <s v="USR-101391"/>
    <d v="2025-04-15T00:00:00"/>
    <x v="1"/>
    <s v="West"/>
    <x v="1"/>
    <x v="1"/>
    <s v="Basic"/>
    <n v="1"/>
    <n v="1"/>
    <n v="1"/>
    <n v="0"/>
    <n v="0"/>
    <n v="0"/>
    <n v="0"/>
    <m/>
    <n v="38.5"/>
    <n v="1"/>
  </r>
  <r>
    <s v="USR-101392"/>
    <d v="2025-02-10T00:00:00"/>
    <x v="1"/>
    <s v="East"/>
    <x v="1"/>
    <x v="2"/>
    <s v="Free"/>
    <n v="1"/>
    <n v="0"/>
    <n v="0"/>
    <n v="0"/>
    <n v="0"/>
    <n v="0"/>
    <n v="0"/>
    <m/>
    <n v="76.900000000000006"/>
    <n v="1"/>
  </r>
  <r>
    <s v="USR-101393"/>
    <d v="2025-05-08T00:00:00"/>
    <x v="1"/>
    <s v="East"/>
    <x v="1"/>
    <x v="1"/>
    <s v="Free"/>
    <n v="1"/>
    <n v="0"/>
    <n v="0"/>
    <n v="0"/>
    <n v="0"/>
    <n v="0"/>
    <n v="0"/>
    <m/>
    <n v="54"/>
    <n v="1"/>
  </r>
  <r>
    <s v="USR-101394"/>
    <d v="2025-05-28T00:00:00"/>
    <x v="1"/>
    <s v="East"/>
    <x v="2"/>
    <x v="1"/>
    <s v="Free"/>
    <n v="1"/>
    <n v="0"/>
    <n v="0"/>
    <n v="0"/>
    <n v="0"/>
    <n v="0"/>
    <n v="0"/>
    <m/>
    <n v="70.599999999999994"/>
    <n v="1"/>
  </r>
  <r>
    <s v="USR-101395"/>
    <d v="2025-04-25T00:00:00"/>
    <x v="1"/>
    <s v="North"/>
    <x v="2"/>
    <x v="3"/>
    <s v="Premium"/>
    <n v="1"/>
    <n v="1"/>
    <n v="1"/>
    <n v="0"/>
    <n v="0"/>
    <n v="1"/>
    <n v="0"/>
    <m/>
    <n v="69.400000000000006"/>
    <n v="1"/>
  </r>
  <r>
    <s v="USR-101396"/>
    <d v="2025-02-11T00:00:00"/>
    <x v="1"/>
    <s v="South"/>
    <x v="1"/>
    <x v="5"/>
    <s v="Premium"/>
    <n v="1"/>
    <n v="1"/>
    <n v="1"/>
    <n v="1"/>
    <n v="1009.9"/>
    <n v="0"/>
    <n v="0"/>
    <n v="6"/>
    <n v="89.7"/>
    <n v="1"/>
  </r>
  <r>
    <s v="USR-101397"/>
    <d v="2025-04-14T00:00:00"/>
    <x v="1"/>
    <s v="West"/>
    <x v="1"/>
    <x v="1"/>
    <s v="Free"/>
    <n v="1"/>
    <n v="0"/>
    <n v="0"/>
    <n v="0"/>
    <n v="0"/>
    <n v="0"/>
    <n v="0"/>
    <m/>
    <n v="62.4"/>
    <n v="1"/>
  </r>
  <r>
    <s v="USR-101398"/>
    <d v="2025-02-04T00:00:00"/>
    <x v="1"/>
    <s v="West"/>
    <x v="2"/>
    <x v="1"/>
    <s v="Premium"/>
    <n v="0"/>
    <n v="0"/>
    <n v="0"/>
    <n v="0"/>
    <n v="0"/>
    <n v="0"/>
    <n v="0"/>
    <m/>
    <n v="67.3"/>
    <n v="1"/>
  </r>
  <r>
    <s v="USR-101399"/>
    <d v="2025-03-22T00:00:00"/>
    <x v="1"/>
    <s v="East"/>
    <x v="1"/>
    <x v="3"/>
    <s v="Free"/>
    <n v="1"/>
    <n v="0"/>
    <n v="0"/>
    <n v="0"/>
    <n v="0"/>
    <n v="0"/>
    <n v="0"/>
    <m/>
    <n v="54.9"/>
    <n v="1"/>
  </r>
  <r>
    <s v="USR-101400"/>
    <d v="2025-04-18T00:00:00"/>
    <x v="1"/>
    <s v="East"/>
    <x v="0"/>
    <x v="4"/>
    <s v="Free"/>
    <n v="0"/>
    <n v="0"/>
    <n v="0"/>
    <n v="0"/>
    <n v="0"/>
    <n v="0"/>
    <n v="0"/>
    <m/>
    <n v="55.7"/>
    <n v="1"/>
  </r>
  <r>
    <m/>
    <m/>
    <x v="2"/>
    <m/>
    <x v="4"/>
    <x v="6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3BF00-28CB-4C5B-8576-EE2D5270CA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H9" firstHeaderRow="1" firstDataRow="2" firstDataCol="1"/>
  <pivotFields count="18">
    <pivotField dataField="1" showAll="0"/>
    <pivotField showAll="0"/>
    <pivotField axis="axisCol" showAll="0">
      <items count="4">
        <item x="0"/>
        <item x="1"/>
        <item h="1" x="2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72FA7-CE5F-42C0-A605-C864933EEB9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N10" firstHeaderRow="1" firstDataRow="2" firstDataCol="1"/>
  <pivotFields count="17"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5C54A-24AF-4849-9C6A-0443BDCDAAB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H19" firstHeaderRow="1" firstDataRow="2" firstDataCol="1"/>
  <pivotFields count="17"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1"/>
  <sheetViews>
    <sheetView tabSelected="1" zoomScaleNormal="100" workbookViewId="0">
      <selection activeCell="S5" sqref="S5"/>
    </sheetView>
  </sheetViews>
  <sheetFormatPr defaultRowHeight="13.8"/>
  <cols>
    <col min="1" max="7" width="16" customWidth="1"/>
    <col min="8" max="8" width="20" customWidth="1"/>
    <col min="9" max="16" width="16" customWidth="1"/>
    <col min="17" max="17" width="18.69921875" customWidth="1"/>
    <col min="18" max="18" width="20.69921875" customWidth="1"/>
    <col min="19" max="19" width="15.69921875" customWidth="1"/>
  </cols>
  <sheetData>
    <row r="1" spans="1:23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1458</v>
      </c>
      <c r="R1" s="1" t="s">
        <v>1469</v>
      </c>
    </row>
    <row r="2" spans="1:23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f t="shared" ref="Q2:Q65" si="0">COUNTIF($A2:$A1409,A2)</f>
        <v>1</v>
      </c>
      <c r="R2" t="str">
        <f>IF(L2&gt;$W8,"Outlier","Normal")</f>
        <v>Normal</v>
      </c>
    </row>
    <row r="3" spans="1:23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f t="shared" si="0"/>
        <v>1</v>
      </c>
      <c r="R3" t="str">
        <f t="shared" ref="R3:R66" si="1">IF(L3&gt;$T9,"Outlier","Normal")</f>
        <v>Normal</v>
      </c>
      <c r="V3" t="s">
        <v>1463</v>
      </c>
    </row>
    <row r="4" spans="1:23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f t="shared" si="0"/>
        <v>1</v>
      </c>
      <c r="R4" t="str">
        <f t="shared" si="1"/>
        <v>Normal</v>
      </c>
      <c r="V4" s="4" t="s">
        <v>1464</v>
      </c>
      <c r="W4" s="4">
        <f>_xlfn.QUARTILE.INC(L2:L1401,1)</f>
        <v>0</v>
      </c>
    </row>
    <row r="5" spans="1:23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>
        <f t="shared" si="0"/>
        <v>1</v>
      </c>
      <c r="R5" t="str">
        <f t="shared" si="1"/>
        <v>Normal</v>
      </c>
      <c r="V5" s="4" t="s">
        <v>1465</v>
      </c>
      <c r="W5" s="4">
        <f>_xlfn.QUARTILE.INC(L2:L1401,3)</f>
        <v>0</v>
      </c>
    </row>
    <row r="6" spans="1:23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>
        <f t="shared" si="0"/>
        <v>1</v>
      </c>
      <c r="R6" t="str">
        <f t="shared" si="1"/>
        <v>Normal</v>
      </c>
      <c r="V6" s="4" t="s">
        <v>1466</v>
      </c>
      <c r="W6" s="4">
        <f>W5-W4</f>
        <v>0</v>
      </c>
    </row>
    <row r="7" spans="1:23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>
        <f t="shared" si="0"/>
        <v>1</v>
      </c>
      <c r="R7" t="str">
        <f t="shared" si="1"/>
        <v>Normal</v>
      </c>
      <c r="V7" s="4" t="s">
        <v>1467</v>
      </c>
      <c r="W7" s="4">
        <f>W4-(1.5*W6)</f>
        <v>0</v>
      </c>
    </row>
    <row r="8" spans="1:23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f t="shared" si="0"/>
        <v>1</v>
      </c>
      <c r="R8" t="str">
        <f t="shared" si="1"/>
        <v>Normal</v>
      </c>
      <c r="V8" s="4" t="s">
        <v>1468</v>
      </c>
      <c r="W8" s="4">
        <f>W5+(1.5*W7)</f>
        <v>0</v>
      </c>
    </row>
    <row r="9" spans="1:23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f t="shared" si="0"/>
        <v>1</v>
      </c>
      <c r="R9" t="str">
        <f t="shared" si="1"/>
        <v>Normal</v>
      </c>
    </row>
    <row r="10" spans="1:23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f t="shared" si="0"/>
        <v>1</v>
      </c>
      <c r="R10" t="str">
        <f t="shared" si="1"/>
        <v>Normal</v>
      </c>
    </row>
    <row r="11" spans="1:23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f t="shared" si="0"/>
        <v>1</v>
      </c>
      <c r="R11" t="str">
        <f t="shared" si="1"/>
        <v>Normal</v>
      </c>
    </row>
    <row r="12" spans="1:23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f t="shared" si="0"/>
        <v>1</v>
      </c>
      <c r="R12" t="str">
        <f t="shared" si="1"/>
        <v>Normal</v>
      </c>
    </row>
    <row r="13" spans="1:23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>
        <f t="shared" si="0"/>
        <v>1</v>
      </c>
      <c r="R13" t="str">
        <f t="shared" si="1"/>
        <v>Normal</v>
      </c>
    </row>
    <row r="14" spans="1:23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f t="shared" si="0"/>
        <v>1</v>
      </c>
      <c r="R14" t="str">
        <f t="shared" si="1"/>
        <v>Normal</v>
      </c>
    </row>
    <row r="15" spans="1:23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>
        <f t="shared" si="0"/>
        <v>1</v>
      </c>
      <c r="R15" t="str">
        <f t="shared" si="1"/>
        <v>Normal</v>
      </c>
    </row>
    <row r="16" spans="1:23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f t="shared" si="0"/>
        <v>1</v>
      </c>
      <c r="R16" t="str">
        <f t="shared" si="1"/>
        <v>Normal</v>
      </c>
    </row>
    <row r="17" spans="1:18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>
        <f t="shared" si="0"/>
        <v>1</v>
      </c>
      <c r="R17" t="str">
        <f t="shared" si="1"/>
        <v>Normal</v>
      </c>
    </row>
    <row r="18" spans="1:18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>
        <f t="shared" si="0"/>
        <v>1</v>
      </c>
      <c r="R18" t="str">
        <f t="shared" si="1"/>
        <v>Normal</v>
      </c>
    </row>
    <row r="19" spans="1:18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f t="shared" si="0"/>
        <v>1</v>
      </c>
      <c r="R19" t="str">
        <f t="shared" si="1"/>
        <v>Normal</v>
      </c>
    </row>
    <row r="20" spans="1:18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f t="shared" si="0"/>
        <v>1</v>
      </c>
      <c r="R20" t="str">
        <f t="shared" si="1"/>
        <v>Normal</v>
      </c>
    </row>
    <row r="21" spans="1:18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f t="shared" si="0"/>
        <v>1</v>
      </c>
      <c r="R21" t="str">
        <f t="shared" si="1"/>
        <v>Normal</v>
      </c>
    </row>
    <row r="22" spans="1:18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f t="shared" si="0"/>
        <v>1</v>
      </c>
      <c r="R22" t="str">
        <f t="shared" si="1"/>
        <v>Normal</v>
      </c>
    </row>
    <row r="23" spans="1:18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f t="shared" si="0"/>
        <v>1</v>
      </c>
      <c r="R23" t="str">
        <f t="shared" si="1"/>
        <v>Normal</v>
      </c>
    </row>
    <row r="24" spans="1:18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f t="shared" si="0"/>
        <v>1</v>
      </c>
      <c r="R24" t="str">
        <f t="shared" si="1"/>
        <v>Normal</v>
      </c>
    </row>
    <row r="25" spans="1:18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f t="shared" si="0"/>
        <v>1</v>
      </c>
      <c r="R25" t="str">
        <f t="shared" si="1"/>
        <v>Normal</v>
      </c>
    </row>
    <row r="26" spans="1:18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>
        <f t="shared" si="0"/>
        <v>1</v>
      </c>
      <c r="R26" t="str">
        <f t="shared" si="1"/>
        <v>Normal</v>
      </c>
    </row>
    <row r="27" spans="1:18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>
        <f t="shared" si="0"/>
        <v>1</v>
      </c>
      <c r="R27" t="str">
        <f t="shared" si="1"/>
        <v>Normal</v>
      </c>
    </row>
    <row r="28" spans="1:18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f t="shared" si="0"/>
        <v>1</v>
      </c>
      <c r="R28" t="str">
        <f t="shared" si="1"/>
        <v>Normal</v>
      </c>
    </row>
    <row r="29" spans="1:18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f t="shared" si="0"/>
        <v>1</v>
      </c>
      <c r="R29" t="str">
        <f t="shared" si="1"/>
        <v>Normal</v>
      </c>
    </row>
    <row r="30" spans="1:18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f t="shared" si="0"/>
        <v>1</v>
      </c>
      <c r="R30" t="str">
        <f t="shared" si="1"/>
        <v>Normal</v>
      </c>
    </row>
    <row r="31" spans="1:18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f t="shared" si="0"/>
        <v>1</v>
      </c>
      <c r="R31" t="str">
        <f t="shared" si="1"/>
        <v>Normal</v>
      </c>
    </row>
    <row r="32" spans="1:18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f t="shared" si="0"/>
        <v>1</v>
      </c>
      <c r="R32" t="str">
        <f t="shared" si="1"/>
        <v>Normal</v>
      </c>
    </row>
    <row r="33" spans="1:18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>
        <f t="shared" si="0"/>
        <v>1</v>
      </c>
      <c r="R33" t="str">
        <f t="shared" si="1"/>
        <v>Normal</v>
      </c>
    </row>
    <row r="34" spans="1:18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f t="shared" si="0"/>
        <v>1</v>
      </c>
      <c r="R34" t="str">
        <f t="shared" si="1"/>
        <v>Normal</v>
      </c>
    </row>
    <row r="35" spans="1:18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f t="shared" si="0"/>
        <v>1</v>
      </c>
      <c r="R35" t="str">
        <f t="shared" si="1"/>
        <v>Normal</v>
      </c>
    </row>
    <row r="36" spans="1:18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>
        <f t="shared" si="0"/>
        <v>1</v>
      </c>
      <c r="R36" t="str">
        <f t="shared" si="1"/>
        <v>Normal</v>
      </c>
    </row>
    <row r="37" spans="1:18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>
        <f t="shared" si="0"/>
        <v>1</v>
      </c>
      <c r="R37" t="str">
        <f t="shared" si="1"/>
        <v>Normal</v>
      </c>
    </row>
    <row r="38" spans="1:18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>
        <f t="shared" si="0"/>
        <v>1</v>
      </c>
      <c r="R38" t="str">
        <f t="shared" si="1"/>
        <v>Normal</v>
      </c>
    </row>
    <row r="39" spans="1:18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f t="shared" si="0"/>
        <v>1</v>
      </c>
      <c r="R39" t="str">
        <f t="shared" si="1"/>
        <v>Normal</v>
      </c>
    </row>
    <row r="40" spans="1:18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f t="shared" si="0"/>
        <v>1</v>
      </c>
      <c r="R40" t="str">
        <f t="shared" si="1"/>
        <v>Normal</v>
      </c>
    </row>
    <row r="41" spans="1:18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f t="shared" si="0"/>
        <v>1</v>
      </c>
      <c r="R41" t="str">
        <f t="shared" si="1"/>
        <v>Normal</v>
      </c>
    </row>
    <row r="42" spans="1:18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f t="shared" si="0"/>
        <v>1</v>
      </c>
      <c r="R42" t="str">
        <f t="shared" si="1"/>
        <v>Normal</v>
      </c>
    </row>
    <row r="43" spans="1:18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f t="shared" si="0"/>
        <v>1</v>
      </c>
      <c r="R43" t="str">
        <f t="shared" si="1"/>
        <v>Normal</v>
      </c>
    </row>
    <row r="44" spans="1:18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f t="shared" si="0"/>
        <v>1</v>
      </c>
      <c r="R44" t="str">
        <f t="shared" si="1"/>
        <v>Normal</v>
      </c>
    </row>
    <row r="45" spans="1:18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f t="shared" si="0"/>
        <v>1</v>
      </c>
      <c r="R45" t="str">
        <f t="shared" si="1"/>
        <v>Normal</v>
      </c>
    </row>
    <row r="46" spans="1:18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f t="shared" si="0"/>
        <v>1</v>
      </c>
      <c r="R46" t="str">
        <f t="shared" si="1"/>
        <v>Normal</v>
      </c>
    </row>
    <row r="47" spans="1:18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f t="shared" si="0"/>
        <v>1</v>
      </c>
      <c r="R47" t="str">
        <f t="shared" si="1"/>
        <v>Normal</v>
      </c>
    </row>
    <row r="48" spans="1:18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f t="shared" si="0"/>
        <v>1</v>
      </c>
      <c r="R48" t="str">
        <f t="shared" si="1"/>
        <v>Normal</v>
      </c>
    </row>
    <row r="49" spans="1:18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f t="shared" si="0"/>
        <v>1</v>
      </c>
      <c r="R49" t="str">
        <f t="shared" si="1"/>
        <v>Normal</v>
      </c>
    </row>
    <row r="50" spans="1:18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f t="shared" si="0"/>
        <v>1</v>
      </c>
      <c r="R50" t="str">
        <f t="shared" si="1"/>
        <v>Normal</v>
      </c>
    </row>
    <row r="51" spans="1:18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f t="shared" si="0"/>
        <v>1</v>
      </c>
      <c r="R51" t="str">
        <f t="shared" si="1"/>
        <v>Normal</v>
      </c>
    </row>
    <row r="52" spans="1:18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f t="shared" si="0"/>
        <v>1</v>
      </c>
      <c r="R52" t="str">
        <f t="shared" si="1"/>
        <v>Normal</v>
      </c>
    </row>
    <row r="53" spans="1:18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f t="shared" si="0"/>
        <v>1</v>
      </c>
      <c r="R53" t="str">
        <f t="shared" si="1"/>
        <v>Normal</v>
      </c>
    </row>
    <row r="54" spans="1:18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f t="shared" si="0"/>
        <v>1</v>
      </c>
      <c r="R54" t="str">
        <f t="shared" si="1"/>
        <v>Normal</v>
      </c>
    </row>
    <row r="55" spans="1:18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f t="shared" si="0"/>
        <v>1</v>
      </c>
      <c r="R55" t="str">
        <f t="shared" si="1"/>
        <v>Normal</v>
      </c>
    </row>
    <row r="56" spans="1:18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f t="shared" si="0"/>
        <v>1</v>
      </c>
      <c r="R56" t="str">
        <f t="shared" si="1"/>
        <v>Normal</v>
      </c>
    </row>
    <row r="57" spans="1:18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f t="shared" si="0"/>
        <v>1</v>
      </c>
      <c r="R57" t="str">
        <f t="shared" si="1"/>
        <v>Normal</v>
      </c>
    </row>
    <row r="58" spans="1:18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f t="shared" si="0"/>
        <v>1</v>
      </c>
      <c r="R58" t="str">
        <f t="shared" si="1"/>
        <v>Normal</v>
      </c>
    </row>
    <row r="59" spans="1:18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f t="shared" si="0"/>
        <v>1</v>
      </c>
      <c r="R59" t="str">
        <f t="shared" si="1"/>
        <v>Normal</v>
      </c>
    </row>
    <row r="60" spans="1:18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f t="shared" si="0"/>
        <v>1</v>
      </c>
      <c r="R60" t="str">
        <f t="shared" si="1"/>
        <v>Normal</v>
      </c>
    </row>
    <row r="61" spans="1:18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f t="shared" si="0"/>
        <v>1</v>
      </c>
      <c r="R61" t="str">
        <f t="shared" si="1"/>
        <v>Outlier</v>
      </c>
    </row>
    <row r="62" spans="1:18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f t="shared" si="0"/>
        <v>1</v>
      </c>
      <c r="R62" t="str">
        <f t="shared" si="1"/>
        <v>Normal</v>
      </c>
    </row>
    <row r="63" spans="1:18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f t="shared" si="0"/>
        <v>1</v>
      </c>
      <c r="R63" t="str">
        <f t="shared" si="1"/>
        <v>Normal</v>
      </c>
    </row>
    <row r="64" spans="1:18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f t="shared" si="0"/>
        <v>1</v>
      </c>
      <c r="R64" t="str">
        <f t="shared" si="1"/>
        <v>Normal</v>
      </c>
    </row>
    <row r="65" spans="1:18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f t="shared" si="0"/>
        <v>1</v>
      </c>
      <c r="R65" t="str">
        <f t="shared" si="1"/>
        <v>Normal</v>
      </c>
    </row>
    <row r="66" spans="1:18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f t="shared" ref="Q66:Q129" si="2">COUNTIF($A66:$A1473,A66)</f>
        <v>1</v>
      </c>
      <c r="R66" t="str">
        <f t="shared" si="1"/>
        <v>Normal</v>
      </c>
    </row>
    <row r="67" spans="1:18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f t="shared" si="2"/>
        <v>1</v>
      </c>
      <c r="R67" t="str">
        <f t="shared" ref="R67:R130" si="3">IF(L67&gt;$T73,"Outlier","Normal")</f>
        <v>Normal</v>
      </c>
    </row>
    <row r="68" spans="1:18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f t="shared" si="2"/>
        <v>1</v>
      </c>
      <c r="R68" t="str">
        <f t="shared" si="3"/>
        <v>Normal</v>
      </c>
    </row>
    <row r="69" spans="1:18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f t="shared" si="2"/>
        <v>1</v>
      </c>
      <c r="R69" t="str">
        <f t="shared" si="3"/>
        <v>Normal</v>
      </c>
    </row>
    <row r="70" spans="1:18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f t="shared" si="2"/>
        <v>1</v>
      </c>
      <c r="R70" t="str">
        <f t="shared" si="3"/>
        <v>Normal</v>
      </c>
    </row>
    <row r="71" spans="1:18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f t="shared" si="2"/>
        <v>1</v>
      </c>
      <c r="R71" t="str">
        <f t="shared" si="3"/>
        <v>Normal</v>
      </c>
    </row>
    <row r="72" spans="1:18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f t="shared" si="2"/>
        <v>1</v>
      </c>
      <c r="R72" t="str">
        <f t="shared" si="3"/>
        <v>Normal</v>
      </c>
    </row>
    <row r="73" spans="1:18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f t="shared" si="2"/>
        <v>1</v>
      </c>
      <c r="R73" t="str">
        <f t="shared" si="3"/>
        <v>Normal</v>
      </c>
    </row>
    <row r="74" spans="1:18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f t="shared" si="2"/>
        <v>1</v>
      </c>
      <c r="R74" t="str">
        <f t="shared" si="3"/>
        <v>Normal</v>
      </c>
    </row>
    <row r="75" spans="1:18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f t="shared" si="2"/>
        <v>1</v>
      </c>
      <c r="R75" t="str">
        <f t="shared" si="3"/>
        <v>Normal</v>
      </c>
    </row>
    <row r="76" spans="1:18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f t="shared" si="2"/>
        <v>1</v>
      </c>
      <c r="R76" t="str">
        <f t="shared" si="3"/>
        <v>Normal</v>
      </c>
    </row>
    <row r="77" spans="1:18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>
        <f t="shared" si="2"/>
        <v>1</v>
      </c>
      <c r="R77" t="str">
        <f t="shared" si="3"/>
        <v>Normal</v>
      </c>
    </row>
    <row r="78" spans="1:18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>
        <f t="shared" si="2"/>
        <v>1</v>
      </c>
      <c r="R78" t="str">
        <f t="shared" si="3"/>
        <v>Normal</v>
      </c>
    </row>
    <row r="79" spans="1:18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f t="shared" si="2"/>
        <v>1</v>
      </c>
      <c r="R79" t="str">
        <f t="shared" si="3"/>
        <v>Normal</v>
      </c>
    </row>
    <row r="80" spans="1:18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f t="shared" si="2"/>
        <v>1</v>
      </c>
      <c r="R80" t="str">
        <f t="shared" si="3"/>
        <v>Outlier</v>
      </c>
    </row>
    <row r="81" spans="1:18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f t="shared" si="2"/>
        <v>1</v>
      </c>
      <c r="R81" t="str">
        <f t="shared" si="3"/>
        <v>Normal</v>
      </c>
    </row>
    <row r="82" spans="1:18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f t="shared" si="2"/>
        <v>1</v>
      </c>
      <c r="R82" t="str">
        <f t="shared" si="3"/>
        <v>Normal</v>
      </c>
    </row>
    <row r="83" spans="1:18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f t="shared" si="2"/>
        <v>1</v>
      </c>
      <c r="R83" t="str">
        <f t="shared" si="3"/>
        <v>Normal</v>
      </c>
    </row>
    <row r="84" spans="1:18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f t="shared" si="2"/>
        <v>1</v>
      </c>
      <c r="R84" t="str">
        <f t="shared" si="3"/>
        <v>Normal</v>
      </c>
    </row>
    <row r="85" spans="1:18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f t="shared" si="2"/>
        <v>1</v>
      </c>
      <c r="R85" t="str">
        <f t="shared" si="3"/>
        <v>Normal</v>
      </c>
    </row>
    <row r="86" spans="1:18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>
        <f t="shared" si="2"/>
        <v>1</v>
      </c>
      <c r="R86" t="str">
        <f t="shared" si="3"/>
        <v>Normal</v>
      </c>
    </row>
    <row r="87" spans="1:18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f t="shared" si="2"/>
        <v>1</v>
      </c>
      <c r="R87" t="str">
        <f t="shared" si="3"/>
        <v>Normal</v>
      </c>
    </row>
    <row r="88" spans="1:18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f t="shared" si="2"/>
        <v>1</v>
      </c>
      <c r="R88" t="str">
        <f t="shared" si="3"/>
        <v>Normal</v>
      </c>
    </row>
    <row r="89" spans="1:18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f t="shared" si="2"/>
        <v>1</v>
      </c>
      <c r="R89" t="str">
        <f t="shared" si="3"/>
        <v>Normal</v>
      </c>
    </row>
    <row r="90" spans="1:18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f t="shared" si="2"/>
        <v>1</v>
      </c>
      <c r="R90" t="str">
        <f t="shared" si="3"/>
        <v>Normal</v>
      </c>
    </row>
    <row r="91" spans="1:18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f t="shared" si="2"/>
        <v>1</v>
      </c>
      <c r="R91" t="str">
        <f t="shared" si="3"/>
        <v>Normal</v>
      </c>
    </row>
    <row r="92" spans="1:18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f t="shared" si="2"/>
        <v>1</v>
      </c>
      <c r="R92" t="str">
        <f t="shared" si="3"/>
        <v>Normal</v>
      </c>
    </row>
    <row r="93" spans="1:18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f t="shared" si="2"/>
        <v>1</v>
      </c>
      <c r="R93" t="str">
        <f t="shared" si="3"/>
        <v>Normal</v>
      </c>
    </row>
    <row r="94" spans="1:18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f t="shared" si="2"/>
        <v>1</v>
      </c>
      <c r="R94" t="str">
        <f t="shared" si="3"/>
        <v>Normal</v>
      </c>
    </row>
    <row r="95" spans="1:18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f t="shared" si="2"/>
        <v>1</v>
      </c>
      <c r="R95" t="str">
        <f t="shared" si="3"/>
        <v>Normal</v>
      </c>
    </row>
    <row r="96" spans="1:18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f t="shared" si="2"/>
        <v>1</v>
      </c>
      <c r="R96" t="str">
        <f t="shared" si="3"/>
        <v>Normal</v>
      </c>
    </row>
    <row r="97" spans="1:18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f t="shared" si="2"/>
        <v>1</v>
      </c>
      <c r="R97" t="str">
        <f t="shared" si="3"/>
        <v>Normal</v>
      </c>
    </row>
    <row r="98" spans="1:18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f t="shared" si="2"/>
        <v>1</v>
      </c>
      <c r="R98" t="str">
        <f t="shared" si="3"/>
        <v>Normal</v>
      </c>
    </row>
    <row r="99" spans="1:18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f t="shared" si="2"/>
        <v>1</v>
      </c>
      <c r="R99" t="str">
        <f t="shared" si="3"/>
        <v>Normal</v>
      </c>
    </row>
    <row r="100" spans="1:18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f t="shared" si="2"/>
        <v>1</v>
      </c>
      <c r="R100" t="str">
        <f t="shared" si="3"/>
        <v>Outlier</v>
      </c>
    </row>
    <row r="101" spans="1:18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f t="shared" si="2"/>
        <v>1</v>
      </c>
      <c r="R101" t="str">
        <f t="shared" si="3"/>
        <v>Normal</v>
      </c>
    </row>
    <row r="102" spans="1:18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f t="shared" si="2"/>
        <v>1</v>
      </c>
      <c r="R102" t="str">
        <f t="shared" si="3"/>
        <v>Normal</v>
      </c>
    </row>
    <row r="103" spans="1:18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>
        <f t="shared" si="2"/>
        <v>1</v>
      </c>
      <c r="R103" t="str">
        <f t="shared" si="3"/>
        <v>Normal</v>
      </c>
    </row>
    <row r="104" spans="1:18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f t="shared" si="2"/>
        <v>1</v>
      </c>
      <c r="R104" t="str">
        <f t="shared" si="3"/>
        <v>Outlier</v>
      </c>
    </row>
    <row r="105" spans="1:18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f t="shared" si="2"/>
        <v>1</v>
      </c>
      <c r="R105" t="str">
        <f t="shared" si="3"/>
        <v>Normal</v>
      </c>
    </row>
    <row r="106" spans="1:18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>
        <f t="shared" si="2"/>
        <v>1</v>
      </c>
      <c r="R106" t="str">
        <f t="shared" si="3"/>
        <v>Normal</v>
      </c>
    </row>
    <row r="107" spans="1:18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f t="shared" si="2"/>
        <v>1</v>
      </c>
      <c r="R107" t="str">
        <f t="shared" si="3"/>
        <v>Outlier</v>
      </c>
    </row>
    <row r="108" spans="1:18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f t="shared" si="2"/>
        <v>1</v>
      </c>
      <c r="R108" t="str">
        <f t="shared" si="3"/>
        <v>Normal</v>
      </c>
    </row>
    <row r="109" spans="1:18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>
        <f t="shared" si="2"/>
        <v>1</v>
      </c>
      <c r="R109" t="str">
        <f t="shared" si="3"/>
        <v>Normal</v>
      </c>
    </row>
    <row r="110" spans="1:18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>
        <f t="shared" si="2"/>
        <v>1</v>
      </c>
      <c r="R110" t="str">
        <f t="shared" si="3"/>
        <v>Normal</v>
      </c>
    </row>
    <row r="111" spans="1:18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f t="shared" si="2"/>
        <v>1</v>
      </c>
      <c r="R111" t="str">
        <f t="shared" si="3"/>
        <v>Normal</v>
      </c>
    </row>
    <row r="112" spans="1:18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f t="shared" si="2"/>
        <v>1</v>
      </c>
      <c r="R112" t="str">
        <f t="shared" si="3"/>
        <v>Normal</v>
      </c>
    </row>
    <row r="113" spans="1:18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f t="shared" si="2"/>
        <v>1</v>
      </c>
      <c r="R113" t="str">
        <f t="shared" si="3"/>
        <v>Normal</v>
      </c>
    </row>
    <row r="114" spans="1:18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f t="shared" si="2"/>
        <v>1</v>
      </c>
      <c r="R114" t="str">
        <f t="shared" si="3"/>
        <v>Normal</v>
      </c>
    </row>
    <row r="115" spans="1:18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f t="shared" si="2"/>
        <v>1</v>
      </c>
      <c r="R115" t="str">
        <f t="shared" si="3"/>
        <v>Normal</v>
      </c>
    </row>
    <row r="116" spans="1:18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f t="shared" si="2"/>
        <v>1</v>
      </c>
      <c r="R116" t="str">
        <f t="shared" si="3"/>
        <v>Normal</v>
      </c>
    </row>
    <row r="117" spans="1:18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>
        <f t="shared" si="2"/>
        <v>1</v>
      </c>
      <c r="R117" t="str">
        <f t="shared" si="3"/>
        <v>Normal</v>
      </c>
    </row>
    <row r="118" spans="1:18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f t="shared" si="2"/>
        <v>1</v>
      </c>
      <c r="R118" t="str">
        <f t="shared" si="3"/>
        <v>Normal</v>
      </c>
    </row>
    <row r="119" spans="1:18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f t="shared" si="2"/>
        <v>1</v>
      </c>
      <c r="R119" t="str">
        <f t="shared" si="3"/>
        <v>Normal</v>
      </c>
    </row>
    <row r="120" spans="1:18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f t="shared" si="2"/>
        <v>1</v>
      </c>
      <c r="R120" t="str">
        <f t="shared" si="3"/>
        <v>Normal</v>
      </c>
    </row>
    <row r="121" spans="1:18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f t="shared" si="2"/>
        <v>1</v>
      </c>
      <c r="R121" t="str">
        <f t="shared" si="3"/>
        <v>Normal</v>
      </c>
    </row>
    <row r="122" spans="1:18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f t="shared" si="2"/>
        <v>1</v>
      </c>
      <c r="R122" t="str">
        <f t="shared" si="3"/>
        <v>Normal</v>
      </c>
    </row>
    <row r="123" spans="1:18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>
        <f t="shared" si="2"/>
        <v>1</v>
      </c>
      <c r="R123" t="str">
        <f t="shared" si="3"/>
        <v>Normal</v>
      </c>
    </row>
    <row r="124" spans="1:18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f t="shared" si="2"/>
        <v>1</v>
      </c>
      <c r="R124" t="str">
        <f t="shared" si="3"/>
        <v>Normal</v>
      </c>
    </row>
    <row r="125" spans="1:18">
      <c r="A125" t="s">
        <v>155</v>
      </c>
      <c r="B125" s="2">
        <v>45807</v>
      </c>
      <c r="C125" t="s">
        <v>17</v>
      </c>
      <c r="D125" t="s">
        <v>23</v>
      </c>
      <c r="E125" t="s">
        <v>1479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f t="shared" si="2"/>
        <v>1</v>
      </c>
      <c r="R125" t="str">
        <f t="shared" si="3"/>
        <v>Normal</v>
      </c>
    </row>
    <row r="126" spans="1:18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f t="shared" si="2"/>
        <v>1</v>
      </c>
      <c r="R126" t="str">
        <f t="shared" si="3"/>
        <v>Normal</v>
      </c>
    </row>
    <row r="127" spans="1:18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f t="shared" si="2"/>
        <v>1</v>
      </c>
      <c r="R127" t="str">
        <f t="shared" si="3"/>
        <v>Normal</v>
      </c>
    </row>
    <row r="128" spans="1:18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f t="shared" si="2"/>
        <v>1</v>
      </c>
      <c r="R128" t="str">
        <f t="shared" si="3"/>
        <v>Normal</v>
      </c>
    </row>
    <row r="129" spans="1:18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f t="shared" si="2"/>
        <v>1</v>
      </c>
      <c r="R129" t="str">
        <f t="shared" si="3"/>
        <v>Normal</v>
      </c>
    </row>
    <row r="130" spans="1:18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f t="shared" ref="Q130:Q193" si="4">COUNTIF($A130:$A1537,A130)</f>
        <v>1</v>
      </c>
      <c r="R130" t="str">
        <f t="shared" si="3"/>
        <v>Normal</v>
      </c>
    </row>
    <row r="131" spans="1:18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f t="shared" si="4"/>
        <v>1</v>
      </c>
      <c r="R131" t="str">
        <f t="shared" ref="R131:R194" si="5">IF(L131&gt;$T137,"Outlier","Normal")</f>
        <v>Normal</v>
      </c>
    </row>
    <row r="132" spans="1:18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f t="shared" si="4"/>
        <v>1</v>
      </c>
      <c r="R132" t="str">
        <f t="shared" si="5"/>
        <v>Normal</v>
      </c>
    </row>
    <row r="133" spans="1:18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>
        <f t="shared" si="4"/>
        <v>1</v>
      </c>
      <c r="R133" t="str">
        <f t="shared" si="5"/>
        <v>Normal</v>
      </c>
    </row>
    <row r="134" spans="1:18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f t="shared" si="4"/>
        <v>1</v>
      </c>
      <c r="R134" t="str">
        <f t="shared" si="5"/>
        <v>Normal</v>
      </c>
    </row>
    <row r="135" spans="1:18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f t="shared" si="4"/>
        <v>1</v>
      </c>
      <c r="R135" t="str">
        <f t="shared" si="5"/>
        <v>Normal</v>
      </c>
    </row>
    <row r="136" spans="1:18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f t="shared" si="4"/>
        <v>1</v>
      </c>
      <c r="R136" t="str">
        <f t="shared" si="5"/>
        <v>Normal</v>
      </c>
    </row>
    <row r="137" spans="1:18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f t="shared" si="4"/>
        <v>1</v>
      </c>
      <c r="R137" t="str">
        <f t="shared" si="5"/>
        <v>Normal</v>
      </c>
    </row>
    <row r="138" spans="1:18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f t="shared" si="4"/>
        <v>1</v>
      </c>
      <c r="R138" t="str">
        <f t="shared" si="5"/>
        <v>Normal</v>
      </c>
    </row>
    <row r="139" spans="1:18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>
        <f t="shared" si="4"/>
        <v>1</v>
      </c>
      <c r="R139" t="str">
        <f t="shared" si="5"/>
        <v>Normal</v>
      </c>
    </row>
    <row r="140" spans="1:18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f t="shared" si="4"/>
        <v>1</v>
      </c>
      <c r="R140" t="str">
        <f t="shared" si="5"/>
        <v>Normal</v>
      </c>
    </row>
    <row r="141" spans="1:18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f t="shared" si="4"/>
        <v>1</v>
      </c>
      <c r="R141" t="str">
        <f t="shared" si="5"/>
        <v>Normal</v>
      </c>
    </row>
    <row r="142" spans="1:18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f t="shared" si="4"/>
        <v>1</v>
      </c>
      <c r="R142" t="str">
        <f t="shared" si="5"/>
        <v>Normal</v>
      </c>
    </row>
    <row r="143" spans="1:18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f t="shared" si="4"/>
        <v>1</v>
      </c>
      <c r="R143" t="str">
        <f t="shared" si="5"/>
        <v>Outlier</v>
      </c>
    </row>
    <row r="144" spans="1:18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f t="shared" si="4"/>
        <v>1</v>
      </c>
      <c r="R144" t="str">
        <f t="shared" si="5"/>
        <v>Normal</v>
      </c>
    </row>
    <row r="145" spans="1:18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f t="shared" si="4"/>
        <v>1</v>
      </c>
      <c r="R145" t="str">
        <f t="shared" si="5"/>
        <v>Normal</v>
      </c>
    </row>
    <row r="146" spans="1:18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f t="shared" si="4"/>
        <v>1</v>
      </c>
      <c r="R146" t="str">
        <f t="shared" si="5"/>
        <v>Normal</v>
      </c>
    </row>
    <row r="147" spans="1:18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f t="shared" si="4"/>
        <v>1</v>
      </c>
      <c r="R147" t="str">
        <f t="shared" si="5"/>
        <v>Normal</v>
      </c>
    </row>
    <row r="148" spans="1:18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f t="shared" si="4"/>
        <v>1</v>
      </c>
      <c r="R148" t="str">
        <f t="shared" si="5"/>
        <v>Normal</v>
      </c>
    </row>
    <row r="149" spans="1:18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f t="shared" si="4"/>
        <v>1</v>
      </c>
      <c r="R149" t="str">
        <f t="shared" si="5"/>
        <v>Normal</v>
      </c>
    </row>
    <row r="150" spans="1:18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f t="shared" si="4"/>
        <v>1</v>
      </c>
      <c r="R150" t="str">
        <f t="shared" si="5"/>
        <v>Outlier</v>
      </c>
    </row>
    <row r="151" spans="1:18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>
        <f t="shared" si="4"/>
        <v>1</v>
      </c>
      <c r="R151" t="str">
        <f t="shared" si="5"/>
        <v>Normal</v>
      </c>
    </row>
    <row r="152" spans="1:18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f t="shared" si="4"/>
        <v>1</v>
      </c>
      <c r="R152" t="str">
        <f t="shared" si="5"/>
        <v>Normal</v>
      </c>
    </row>
    <row r="153" spans="1:18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f t="shared" si="4"/>
        <v>1</v>
      </c>
      <c r="R153" t="str">
        <f t="shared" si="5"/>
        <v>Normal</v>
      </c>
    </row>
    <row r="154" spans="1:18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f t="shared" si="4"/>
        <v>1</v>
      </c>
      <c r="R154" t="str">
        <f t="shared" si="5"/>
        <v>Normal</v>
      </c>
    </row>
    <row r="155" spans="1:18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>
        <f t="shared" si="4"/>
        <v>1</v>
      </c>
      <c r="R155" t="str">
        <f t="shared" si="5"/>
        <v>Normal</v>
      </c>
    </row>
    <row r="156" spans="1:18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f t="shared" si="4"/>
        <v>1</v>
      </c>
      <c r="R156" t="str">
        <f t="shared" si="5"/>
        <v>Normal</v>
      </c>
    </row>
    <row r="157" spans="1:18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f t="shared" si="4"/>
        <v>1</v>
      </c>
      <c r="R157" t="str">
        <f t="shared" si="5"/>
        <v>Normal</v>
      </c>
    </row>
    <row r="158" spans="1:18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f t="shared" si="4"/>
        <v>1</v>
      </c>
      <c r="R158" t="str">
        <f t="shared" si="5"/>
        <v>Normal</v>
      </c>
    </row>
    <row r="159" spans="1:18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f t="shared" si="4"/>
        <v>1</v>
      </c>
      <c r="R159" t="str">
        <f t="shared" si="5"/>
        <v>Normal</v>
      </c>
    </row>
    <row r="160" spans="1:18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>
        <f t="shared" si="4"/>
        <v>1</v>
      </c>
      <c r="R160" t="str">
        <f t="shared" si="5"/>
        <v>Normal</v>
      </c>
    </row>
    <row r="161" spans="1:18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f t="shared" si="4"/>
        <v>1</v>
      </c>
      <c r="R161" t="str">
        <f t="shared" si="5"/>
        <v>Normal</v>
      </c>
    </row>
    <row r="162" spans="1:18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f t="shared" si="4"/>
        <v>1</v>
      </c>
      <c r="R162" t="str">
        <f t="shared" si="5"/>
        <v>Normal</v>
      </c>
    </row>
    <row r="163" spans="1:18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f t="shared" si="4"/>
        <v>1</v>
      </c>
      <c r="R163" t="str">
        <f t="shared" si="5"/>
        <v>Normal</v>
      </c>
    </row>
    <row r="164" spans="1:18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f t="shared" si="4"/>
        <v>1</v>
      </c>
      <c r="R164" t="str">
        <f t="shared" si="5"/>
        <v>Normal</v>
      </c>
    </row>
    <row r="165" spans="1:18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>
        <f t="shared" si="4"/>
        <v>1</v>
      </c>
      <c r="R165" t="str">
        <f t="shared" si="5"/>
        <v>Normal</v>
      </c>
    </row>
    <row r="166" spans="1:18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f t="shared" si="4"/>
        <v>1</v>
      </c>
      <c r="R166" t="str">
        <f t="shared" si="5"/>
        <v>Normal</v>
      </c>
    </row>
    <row r="167" spans="1:18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f t="shared" si="4"/>
        <v>1</v>
      </c>
      <c r="R167" t="str">
        <f t="shared" si="5"/>
        <v>Outlier</v>
      </c>
    </row>
    <row r="168" spans="1:18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f t="shared" si="4"/>
        <v>1</v>
      </c>
      <c r="R168" t="str">
        <f t="shared" si="5"/>
        <v>Normal</v>
      </c>
    </row>
    <row r="169" spans="1:18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>
        <f t="shared" si="4"/>
        <v>1</v>
      </c>
      <c r="R169" t="str">
        <f t="shared" si="5"/>
        <v>Normal</v>
      </c>
    </row>
    <row r="170" spans="1:18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f t="shared" si="4"/>
        <v>1</v>
      </c>
      <c r="R170" t="str">
        <f t="shared" si="5"/>
        <v>Normal</v>
      </c>
    </row>
    <row r="171" spans="1:18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>
        <f t="shared" si="4"/>
        <v>1</v>
      </c>
      <c r="R171" t="str">
        <f t="shared" si="5"/>
        <v>Normal</v>
      </c>
    </row>
    <row r="172" spans="1:18">
      <c r="A172" t="s">
        <v>202</v>
      </c>
      <c r="B172" s="2">
        <v>45806</v>
      </c>
      <c r="C172" t="s">
        <v>17</v>
      </c>
      <c r="D172" t="s">
        <v>28</v>
      </c>
      <c r="E172" t="s">
        <v>1479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f t="shared" si="4"/>
        <v>1</v>
      </c>
      <c r="R172" t="str">
        <f t="shared" si="5"/>
        <v>Normal</v>
      </c>
    </row>
    <row r="173" spans="1:18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f t="shared" si="4"/>
        <v>1</v>
      </c>
      <c r="R173" t="str">
        <f t="shared" si="5"/>
        <v>Normal</v>
      </c>
    </row>
    <row r="174" spans="1:18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f t="shared" si="4"/>
        <v>1</v>
      </c>
      <c r="R174" t="str">
        <f t="shared" si="5"/>
        <v>Normal</v>
      </c>
    </row>
    <row r="175" spans="1:18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f t="shared" si="4"/>
        <v>1</v>
      </c>
      <c r="R175" t="str">
        <f t="shared" si="5"/>
        <v>Normal</v>
      </c>
    </row>
    <row r="176" spans="1:18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f t="shared" si="4"/>
        <v>1</v>
      </c>
      <c r="R176" t="str">
        <f t="shared" si="5"/>
        <v>Normal</v>
      </c>
    </row>
    <row r="177" spans="1:18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f t="shared" si="4"/>
        <v>1</v>
      </c>
      <c r="R177" t="str">
        <f t="shared" si="5"/>
        <v>Normal</v>
      </c>
    </row>
    <row r="178" spans="1:18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f t="shared" si="4"/>
        <v>1</v>
      </c>
      <c r="R178" t="str">
        <f t="shared" si="5"/>
        <v>Normal</v>
      </c>
    </row>
    <row r="179" spans="1:18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>
        <f t="shared" si="4"/>
        <v>1</v>
      </c>
      <c r="R179" t="str">
        <f t="shared" si="5"/>
        <v>Normal</v>
      </c>
    </row>
    <row r="180" spans="1:18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f t="shared" si="4"/>
        <v>1</v>
      </c>
      <c r="R180" t="str">
        <f t="shared" si="5"/>
        <v>Normal</v>
      </c>
    </row>
    <row r="181" spans="1:18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f t="shared" si="4"/>
        <v>1</v>
      </c>
      <c r="R181" t="str">
        <f t="shared" si="5"/>
        <v>Normal</v>
      </c>
    </row>
    <row r="182" spans="1:18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f t="shared" si="4"/>
        <v>1</v>
      </c>
      <c r="R182" t="str">
        <f t="shared" si="5"/>
        <v>Normal</v>
      </c>
    </row>
    <row r="183" spans="1:18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>
        <f t="shared" si="4"/>
        <v>1</v>
      </c>
      <c r="R183" t="str">
        <f t="shared" si="5"/>
        <v>Normal</v>
      </c>
    </row>
    <row r="184" spans="1:18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f t="shared" si="4"/>
        <v>1</v>
      </c>
      <c r="R184" t="str">
        <f t="shared" si="5"/>
        <v>Normal</v>
      </c>
    </row>
    <row r="185" spans="1:18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f t="shared" si="4"/>
        <v>1</v>
      </c>
      <c r="R185" t="str">
        <f t="shared" si="5"/>
        <v>Normal</v>
      </c>
    </row>
    <row r="186" spans="1:18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f t="shared" si="4"/>
        <v>1</v>
      </c>
      <c r="R186" t="str">
        <f t="shared" si="5"/>
        <v>Normal</v>
      </c>
    </row>
    <row r="187" spans="1:18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f t="shared" si="4"/>
        <v>1</v>
      </c>
      <c r="R187" t="str">
        <f t="shared" si="5"/>
        <v>Normal</v>
      </c>
    </row>
    <row r="188" spans="1:18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f t="shared" si="4"/>
        <v>1</v>
      </c>
      <c r="R188" t="str">
        <f t="shared" si="5"/>
        <v>Normal</v>
      </c>
    </row>
    <row r="189" spans="1:18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f t="shared" si="4"/>
        <v>1</v>
      </c>
      <c r="R189" t="str">
        <f t="shared" si="5"/>
        <v>Normal</v>
      </c>
    </row>
    <row r="190" spans="1:18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>
        <f t="shared" si="4"/>
        <v>1</v>
      </c>
      <c r="R190" t="str">
        <f t="shared" si="5"/>
        <v>Normal</v>
      </c>
    </row>
    <row r="191" spans="1:18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f t="shared" si="4"/>
        <v>1</v>
      </c>
      <c r="R191" t="str">
        <f t="shared" si="5"/>
        <v>Normal</v>
      </c>
    </row>
    <row r="192" spans="1:18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f t="shared" si="4"/>
        <v>1</v>
      </c>
      <c r="R192" t="str">
        <f t="shared" si="5"/>
        <v>Normal</v>
      </c>
    </row>
    <row r="193" spans="1:18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f t="shared" si="4"/>
        <v>1</v>
      </c>
      <c r="R193" t="str">
        <f t="shared" si="5"/>
        <v>Normal</v>
      </c>
    </row>
    <row r="194" spans="1:18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f t="shared" ref="Q194:Q257" si="6">COUNTIF($A194:$A1601,A194)</f>
        <v>1</v>
      </c>
      <c r="R194" t="str">
        <f t="shared" si="5"/>
        <v>Normal</v>
      </c>
    </row>
    <row r="195" spans="1:18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f t="shared" si="6"/>
        <v>1</v>
      </c>
      <c r="R195" t="str">
        <f t="shared" ref="R195:R258" si="7">IF(L195&gt;$T201,"Outlier","Normal")</f>
        <v>Normal</v>
      </c>
    </row>
    <row r="196" spans="1:18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f t="shared" si="6"/>
        <v>1</v>
      </c>
      <c r="R196" t="str">
        <f t="shared" si="7"/>
        <v>Normal</v>
      </c>
    </row>
    <row r="197" spans="1:18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f t="shared" si="6"/>
        <v>1</v>
      </c>
      <c r="R197" t="str">
        <f t="shared" si="7"/>
        <v>Normal</v>
      </c>
    </row>
    <row r="198" spans="1:18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f t="shared" si="6"/>
        <v>1</v>
      </c>
      <c r="R198" t="str">
        <f t="shared" si="7"/>
        <v>Outlier</v>
      </c>
    </row>
    <row r="199" spans="1:18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>
        <f t="shared" si="6"/>
        <v>1</v>
      </c>
      <c r="R199" t="str">
        <f t="shared" si="7"/>
        <v>Normal</v>
      </c>
    </row>
    <row r="200" spans="1:18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f t="shared" si="6"/>
        <v>1</v>
      </c>
      <c r="R200" t="str">
        <f t="shared" si="7"/>
        <v>Normal</v>
      </c>
    </row>
    <row r="201" spans="1:18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f t="shared" si="6"/>
        <v>1</v>
      </c>
      <c r="R201" t="str">
        <f t="shared" si="7"/>
        <v>Normal</v>
      </c>
    </row>
    <row r="202" spans="1:18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f t="shared" si="6"/>
        <v>1</v>
      </c>
      <c r="R202" t="str">
        <f t="shared" si="7"/>
        <v>Normal</v>
      </c>
    </row>
    <row r="203" spans="1:18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f t="shared" si="6"/>
        <v>1</v>
      </c>
      <c r="R203" t="str">
        <f t="shared" si="7"/>
        <v>Normal</v>
      </c>
    </row>
    <row r="204" spans="1:18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f t="shared" si="6"/>
        <v>1</v>
      </c>
      <c r="R204" t="str">
        <f t="shared" si="7"/>
        <v>Normal</v>
      </c>
    </row>
    <row r="205" spans="1:18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f t="shared" si="6"/>
        <v>1</v>
      </c>
      <c r="R205" t="str">
        <f t="shared" si="7"/>
        <v>Normal</v>
      </c>
    </row>
    <row r="206" spans="1:18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f t="shared" si="6"/>
        <v>1</v>
      </c>
      <c r="R206" t="str">
        <f t="shared" si="7"/>
        <v>Normal</v>
      </c>
    </row>
    <row r="207" spans="1:18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f t="shared" si="6"/>
        <v>1</v>
      </c>
      <c r="R207" t="str">
        <f t="shared" si="7"/>
        <v>Normal</v>
      </c>
    </row>
    <row r="208" spans="1:18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f t="shared" si="6"/>
        <v>1</v>
      </c>
      <c r="R208" t="str">
        <f t="shared" si="7"/>
        <v>Normal</v>
      </c>
    </row>
    <row r="209" spans="1:18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>
        <f t="shared" si="6"/>
        <v>1</v>
      </c>
      <c r="R209" t="str">
        <f t="shared" si="7"/>
        <v>Normal</v>
      </c>
    </row>
    <row r="210" spans="1:18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>
        <f t="shared" si="6"/>
        <v>1</v>
      </c>
      <c r="R210" t="str">
        <f t="shared" si="7"/>
        <v>Normal</v>
      </c>
    </row>
    <row r="211" spans="1:18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f t="shared" si="6"/>
        <v>1</v>
      </c>
      <c r="R211" t="str">
        <f t="shared" si="7"/>
        <v>Normal</v>
      </c>
    </row>
    <row r="212" spans="1:18">
      <c r="A212" t="s">
        <v>242</v>
      </c>
      <c r="B212" s="2">
        <v>45739</v>
      </c>
      <c r="C212" t="s">
        <v>17</v>
      </c>
      <c r="D212" t="s">
        <v>28</v>
      </c>
      <c r="E212" t="s">
        <v>1479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f t="shared" si="6"/>
        <v>1</v>
      </c>
      <c r="R212" t="str">
        <f t="shared" si="7"/>
        <v>Outlier</v>
      </c>
    </row>
    <row r="213" spans="1:18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f t="shared" si="6"/>
        <v>1</v>
      </c>
      <c r="R213" t="str">
        <f t="shared" si="7"/>
        <v>Normal</v>
      </c>
    </row>
    <row r="214" spans="1:18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f t="shared" si="6"/>
        <v>1</v>
      </c>
      <c r="R214" t="str">
        <f t="shared" si="7"/>
        <v>Normal</v>
      </c>
    </row>
    <row r="215" spans="1:18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f t="shared" si="6"/>
        <v>1</v>
      </c>
      <c r="R215" t="str">
        <f t="shared" si="7"/>
        <v>Normal</v>
      </c>
    </row>
    <row r="216" spans="1:18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f t="shared" si="6"/>
        <v>1</v>
      </c>
      <c r="R216" t="str">
        <f t="shared" si="7"/>
        <v>Normal</v>
      </c>
    </row>
    <row r="217" spans="1:18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f t="shared" si="6"/>
        <v>1</v>
      </c>
      <c r="R217" t="str">
        <f t="shared" si="7"/>
        <v>Normal</v>
      </c>
    </row>
    <row r="218" spans="1:18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f t="shared" si="6"/>
        <v>1</v>
      </c>
      <c r="R218" t="str">
        <f t="shared" si="7"/>
        <v>Normal</v>
      </c>
    </row>
    <row r="219" spans="1:18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f t="shared" si="6"/>
        <v>1</v>
      </c>
      <c r="R219" t="str">
        <f t="shared" si="7"/>
        <v>Normal</v>
      </c>
    </row>
    <row r="220" spans="1:18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>
        <f t="shared" si="6"/>
        <v>1</v>
      </c>
      <c r="R220" t="str">
        <f t="shared" si="7"/>
        <v>Normal</v>
      </c>
    </row>
    <row r="221" spans="1:18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f t="shared" si="6"/>
        <v>1</v>
      </c>
      <c r="R221" t="str">
        <f t="shared" si="7"/>
        <v>Normal</v>
      </c>
    </row>
    <row r="222" spans="1:18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>
        <f t="shared" si="6"/>
        <v>1</v>
      </c>
      <c r="R222" t="str">
        <f t="shared" si="7"/>
        <v>Normal</v>
      </c>
    </row>
    <row r="223" spans="1:18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f t="shared" si="6"/>
        <v>1</v>
      </c>
      <c r="R223" t="str">
        <f t="shared" si="7"/>
        <v>Normal</v>
      </c>
    </row>
    <row r="224" spans="1:18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>
        <f t="shared" si="6"/>
        <v>1</v>
      </c>
      <c r="R224" t="str">
        <f t="shared" si="7"/>
        <v>Normal</v>
      </c>
    </row>
    <row r="225" spans="1:18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>
        <f t="shared" si="6"/>
        <v>1</v>
      </c>
      <c r="R225" t="str">
        <f t="shared" si="7"/>
        <v>Normal</v>
      </c>
    </row>
    <row r="226" spans="1:18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f t="shared" si="6"/>
        <v>1</v>
      </c>
      <c r="R226" t="str">
        <f t="shared" si="7"/>
        <v>Normal</v>
      </c>
    </row>
    <row r="227" spans="1:18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f t="shared" si="6"/>
        <v>1</v>
      </c>
      <c r="R227" t="str">
        <f t="shared" si="7"/>
        <v>Normal</v>
      </c>
    </row>
    <row r="228" spans="1:18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f t="shared" si="6"/>
        <v>1</v>
      </c>
      <c r="R228" t="str">
        <f t="shared" si="7"/>
        <v>Normal</v>
      </c>
    </row>
    <row r="229" spans="1:18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>
        <f t="shared" si="6"/>
        <v>1</v>
      </c>
      <c r="R229" t="str">
        <f t="shared" si="7"/>
        <v>Normal</v>
      </c>
    </row>
    <row r="230" spans="1:18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>
        <f t="shared" si="6"/>
        <v>1</v>
      </c>
      <c r="R230" t="str">
        <f t="shared" si="7"/>
        <v>Normal</v>
      </c>
    </row>
    <row r="231" spans="1:18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>
        <f t="shared" si="6"/>
        <v>1</v>
      </c>
      <c r="R231" t="str">
        <f t="shared" si="7"/>
        <v>Normal</v>
      </c>
    </row>
    <row r="232" spans="1:18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>
        <f t="shared" si="6"/>
        <v>1</v>
      </c>
      <c r="R232" t="str">
        <f t="shared" si="7"/>
        <v>Normal</v>
      </c>
    </row>
    <row r="233" spans="1:18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f t="shared" si="6"/>
        <v>1</v>
      </c>
      <c r="R233" t="str">
        <f t="shared" si="7"/>
        <v>Normal</v>
      </c>
    </row>
    <row r="234" spans="1:18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f t="shared" si="6"/>
        <v>1</v>
      </c>
      <c r="R234" t="str">
        <f t="shared" si="7"/>
        <v>Normal</v>
      </c>
    </row>
    <row r="235" spans="1:18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f t="shared" si="6"/>
        <v>1</v>
      </c>
      <c r="R235" t="str">
        <f t="shared" si="7"/>
        <v>Normal</v>
      </c>
    </row>
    <row r="236" spans="1:18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f t="shared" si="6"/>
        <v>1</v>
      </c>
      <c r="R236" t="str">
        <f t="shared" si="7"/>
        <v>Normal</v>
      </c>
    </row>
    <row r="237" spans="1:18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>
        <f t="shared" si="6"/>
        <v>1</v>
      </c>
      <c r="R237" t="str">
        <f t="shared" si="7"/>
        <v>Normal</v>
      </c>
    </row>
    <row r="238" spans="1:18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f t="shared" si="6"/>
        <v>1</v>
      </c>
      <c r="R238" t="str">
        <f t="shared" si="7"/>
        <v>Normal</v>
      </c>
    </row>
    <row r="239" spans="1:18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>
        <f t="shared" si="6"/>
        <v>1</v>
      </c>
      <c r="R239" t="str">
        <f t="shared" si="7"/>
        <v>Normal</v>
      </c>
    </row>
    <row r="240" spans="1:18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f t="shared" si="6"/>
        <v>1</v>
      </c>
      <c r="R240" t="str">
        <f t="shared" si="7"/>
        <v>Normal</v>
      </c>
    </row>
    <row r="241" spans="1:18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f t="shared" si="6"/>
        <v>1</v>
      </c>
      <c r="R241" t="str">
        <f t="shared" si="7"/>
        <v>Normal</v>
      </c>
    </row>
    <row r="242" spans="1:18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f t="shared" si="6"/>
        <v>1</v>
      </c>
      <c r="R242" t="str">
        <f t="shared" si="7"/>
        <v>Normal</v>
      </c>
    </row>
    <row r="243" spans="1:18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f t="shared" si="6"/>
        <v>1</v>
      </c>
      <c r="R243" t="str">
        <f t="shared" si="7"/>
        <v>Normal</v>
      </c>
    </row>
    <row r="244" spans="1:18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>
        <f t="shared" si="6"/>
        <v>1</v>
      </c>
      <c r="R244" t="str">
        <f t="shared" si="7"/>
        <v>Normal</v>
      </c>
    </row>
    <row r="245" spans="1:18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f t="shared" si="6"/>
        <v>1</v>
      </c>
      <c r="R245" t="str">
        <f t="shared" si="7"/>
        <v>Normal</v>
      </c>
    </row>
    <row r="246" spans="1:18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f t="shared" si="6"/>
        <v>1</v>
      </c>
      <c r="R246" t="str">
        <f t="shared" si="7"/>
        <v>Normal</v>
      </c>
    </row>
    <row r="247" spans="1:18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>
        <f t="shared" si="6"/>
        <v>1</v>
      </c>
      <c r="R247" t="str">
        <f t="shared" si="7"/>
        <v>Normal</v>
      </c>
    </row>
    <row r="248" spans="1:18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f t="shared" si="6"/>
        <v>1</v>
      </c>
      <c r="R248" t="str">
        <f t="shared" si="7"/>
        <v>Normal</v>
      </c>
    </row>
    <row r="249" spans="1:18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f t="shared" si="6"/>
        <v>1</v>
      </c>
      <c r="R249" t="str">
        <f t="shared" si="7"/>
        <v>Normal</v>
      </c>
    </row>
    <row r="250" spans="1:18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f t="shared" si="6"/>
        <v>1</v>
      </c>
      <c r="R250" t="str">
        <f t="shared" si="7"/>
        <v>Normal</v>
      </c>
    </row>
    <row r="251" spans="1:18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f t="shared" si="6"/>
        <v>1</v>
      </c>
      <c r="R251" t="str">
        <f t="shared" si="7"/>
        <v>Normal</v>
      </c>
    </row>
    <row r="252" spans="1:18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f t="shared" si="6"/>
        <v>1</v>
      </c>
      <c r="R252" t="str">
        <f t="shared" si="7"/>
        <v>Outlier</v>
      </c>
    </row>
    <row r="253" spans="1:18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f t="shared" si="6"/>
        <v>1</v>
      </c>
      <c r="R253" t="str">
        <f t="shared" si="7"/>
        <v>Normal</v>
      </c>
    </row>
    <row r="254" spans="1:18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f t="shared" si="6"/>
        <v>1</v>
      </c>
      <c r="R254" t="str">
        <f t="shared" si="7"/>
        <v>Normal</v>
      </c>
    </row>
    <row r="255" spans="1:18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f t="shared" si="6"/>
        <v>1</v>
      </c>
      <c r="R255" t="str">
        <f t="shared" si="7"/>
        <v>Normal</v>
      </c>
    </row>
    <row r="256" spans="1:18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>
        <f t="shared" si="6"/>
        <v>1</v>
      </c>
      <c r="R256" t="str">
        <f t="shared" si="7"/>
        <v>Normal</v>
      </c>
    </row>
    <row r="257" spans="1:18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f t="shared" si="6"/>
        <v>1</v>
      </c>
      <c r="R257" t="str">
        <f t="shared" si="7"/>
        <v>Normal</v>
      </c>
    </row>
    <row r="258" spans="1:18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f t="shared" ref="Q258:Q321" si="8">COUNTIF($A258:$A1665,A258)</f>
        <v>1</v>
      </c>
      <c r="R258" t="str">
        <f t="shared" si="7"/>
        <v>Normal</v>
      </c>
    </row>
    <row r="259" spans="1:18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f t="shared" si="8"/>
        <v>1</v>
      </c>
      <c r="R259" t="str">
        <f t="shared" ref="R259:R322" si="9">IF(L259&gt;$T265,"Outlier","Normal")</f>
        <v>Normal</v>
      </c>
    </row>
    <row r="260" spans="1:18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f t="shared" si="8"/>
        <v>1</v>
      </c>
      <c r="R260" t="str">
        <f t="shared" si="9"/>
        <v>Normal</v>
      </c>
    </row>
    <row r="261" spans="1:18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f t="shared" si="8"/>
        <v>1</v>
      </c>
      <c r="R261" t="str">
        <f t="shared" si="9"/>
        <v>Normal</v>
      </c>
    </row>
    <row r="262" spans="1:18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f t="shared" si="8"/>
        <v>1</v>
      </c>
      <c r="R262" t="str">
        <f t="shared" si="9"/>
        <v>Normal</v>
      </c>
    </row>
    <row r="263" spans="1:18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f t="shared" si="8"/>
        <v>1</v>
      </c>
      <c r="R263" t="str">
        <f t="shared" si="9"/>
        <v>Normal</v>
      </c>
    </row>
    <row r="264" spans="1:18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f t="shared" si="8"/>
        <v>1</v>
      </c>
      <c r="R264" t="str">
        <f t="shared" si="9"/>
        <v>Normal</v>
      </c>
    </row>
    <row r="265" spans="1:18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f t="shared" si="8"/>
        <v>1</v>
      </c>
      <c r="R265" t="str">
        <f t="shared" si="9"/>
        <v>Normal</v>
      </c>
    </row>
    <row r="266" spans="1:18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f t="shared" si="8"/>
        <v>1</v>
      </c>
      <c r="R266" t="str">
        <f t="shared" si="9"/>
        <v>Normal</v>
      </c>
    </row>
    <row r="267" spans="1:18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f t="shared" si="8"/>
        <v>1</v>
      </c>
      <c r="R267" t="str">
        <f t="shared" si="9"/>
        <v>Normal</v>
      </c>
    </row>
    <row r="268" spans="1:18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f t="shared" si="8"/>
        <v>1</v>
      </c>
      <c r="R268" t="str">
        <f t="shared" si="9"/>
        <v>Normal</v>
      </c>
    </row>
    <row r="269" spans="1:18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f t="shared" si="8"/>
        <v>1</v>
      </c>
      <c r="R269" t="str">
        <f t="shared" si="9"/>
        <v>Normal</v>
      </c>
    </row>
    <row r="270" spans="1:18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f t="shared" si="8"/>
        <v>1</v>
      </c>
      <c r="R270" t="str">
        <f t="shared" si="9"/>
        <v>Normal</v>
      </c>
    </row>
    <row r="271" spans="1:18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f t="shared" si="8"/>
        <v>1</v>
      </c>
      <c r="R271" t="str">
        <f t="shared" si="9"/>
        <v>Normal</v>
      </c>
    </row>
    <row r="272" spans="1:18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f t="shared" si="8"/>
        <v>1</v>
      </c>
      <c r="R272" t="str">
        <f t="shared" si="9"/>
        <v>Normal</v>
      </c>
    </row>
    <row r="273" spans="1:18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>
        <f t="shared" si="8"/>
        <v>1</v>
      </c>
      <c r="R273" t="str">
        <f t="shared" si="9"/>
        <v>Normal</v>
      </c>
    </row>
    <row r="274" spans="1:18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>
        <f t="shared" si="8"/>
        <v>1</v>
      </c>
      <c r="R274" t="str">
        <f t="shared" si="9"/>
        <v>Normal</v>
      </c>
    </row>
    <row r="275" spans="1:18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>
        <f t="shared" si="8"/>
        <v>1</v>
      </c>
      <c r="R275" t="str">
        <f t="shared" si="9"/>
        <v>Normal</v>
      </c>
    </row>
    <row r="276" spans="1:18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f t="shared" si="8"/>
        <v>1</v>
      </c>
      <c r="R276" t="str">
        <f t="shared" si="9"/>
        <v>Normal</v>
      </c>
    </row>
    <row r="277" spans="1:18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f t="shared" si="8"/>
        <v>1</v>
      </c>
      <c r="R277" t="str">
        <f t="shared" si="9"/>
        <v>Normal</v>
      </c>
    </row>
    <row r="278" spans="1:18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f t="shared" si="8"/>
        <v>1</v>
      </c>
      <c r="R278" t="str">
        <f t="shared" si="9"/>
        <v>Normal</v>
      </c>
    </row>
    <row r="279" spans="1:18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f t="shared" si="8"/>
        <v>1</v>
      </c>
      <c r="R279" t="str">
        <f t="shared" si="9"/>
        <v>Normal</v>
      </c>
    </row>
    <row r="280" spans="1:18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f t="shared" si="8"/>
        <v>1</v>
      </c>
      <c r="R280" t="str">
        <f t="shared" si="9"/>
        <v>Normal</v>
      </c>
    </row>
    <row r="281" spans="1:18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>
        <f t="shared" si="8"/>
        <v>1</v>
      </c>
      <c r="R281" t="str">
        <f t="shared" si="9"/>
        <v>Normal</v>
      </c>
    </row>
    <row r="282" spans="1:18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f t="shared" si="8"/>
        <v>1</v>
      </c>
      <c r="R282" t="str">
        <f t="shared" si="9"/>
        <v>Normal</v>
      </c>
    </row>
    <row r="283" spans="1:18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f t="shared" si="8"/>
        <v>1</v>
      </c>
      <c r="R283" t="str">
        <f t="shared" si="9"/>
        <v>Normal</v>
      </c>
    </row>
    <row r="284" spans="1:18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f t="shared" si="8"/>
        <v>1</v>
      </c>
      <c r="R284" t="str">
        <f t="shared" si="9"/>
        <v>Normal</v>
      </c>
    </row>
    <row r="285" spans="1:18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f t="shared" si="8"/>
        <v>1</v>
      </c>
      <c r="R285" t="str">
        <f t="shared" si="9"/>
        <v>Normal</v>
      </c>
    </row>
    <row r="286" spans="1:18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f t="shared" si="8"/>
        <v>1</v>
      </c>
      <c r="R286" t="str">
        <f t="shared" si="9"/>
        <v>Normal</v>
      </c>
    </row>
    <row r="287" spans="1:18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f t="shared" si="8"/>
        <v>1</v>
      </c>
      <c r="R287" t="str">
        <f t="shared" si="9"/>
        <v>Normal</v>
      </c>
    </row>
    <row r="288" spans="1:18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f t="shared" si="8"/>
        <v>1</v>
      </c>
      <c r="R288" t="str">
        <f t="shared" si="9"/>
        <v>Normal</v>
      </c>
    </row>
    <row r="289" spans="1:18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f t="shared" si="8"/>
        <v>1</v>
      </c>
      <c r="R289" t="str">
        <f t="shared" si="9"/>
        <v>Normal</v>
      </c>
    </row>
    <row r="290" spans="1:18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f t="shared" si="8"/>
        <v>1</v>
      </c>
      <c r="R290" t="str">
        <f t="shared" si="9"/>
        <v>Normal</v>
      </c>
    </row>
    <row r="291" spans="1:18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f t="shared" si="8"/>
        <v>1</v>
      </c>
      <c r="R291" t="str">
        <f t="shared" si="9"/>
        <v>Normal</v>
      </c>
    </row>
    <row r="292" spans="1:18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f t="shared" si="8"/>
        <v>1</v>
      </c>
      <c r="R292" t="str">
        <f t="shared" si="9"/>
        <v>Normal</v>
      </c>
    </row>
    <row r="293" spans="1:18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f t="shared" si="8"/>
        <v>1</v>
      </c>
      <c r="R293" t="str">
        <f t="shared" si="9"/>
        <v>Normal</v>
      </c>
    </row>
    <row r="294" spans="1:18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f t="shared" si="8"/>
        <v>1</v>
      </c>
      <c r="R294" t="str">
        <f t="shared" si="9"/>
        <v>Normal</v>
      </c>
    </row>
    <row r="295" spans="1:18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f t="shared" si="8"/>
        <v>1</v>
      </c>
      <c r="R295" t="str">
        <f t="shared" si="9"/>
        <v>Normal</v>
      </c>
    </row>
    <row r="296" spans="1:18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f t="shared" si="8"/>
        <v>1</v>
      </c>
      <c r="R296" t="str">
        <f t="shared" si="9"/>
        <v>Normal</v>
      </c>
    </row>
    <row r="297" spans="1:18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f t="shared" si="8"/>
        <v>1</v>
      </c>
      <c r="R297" t="str">
        <f t="shared" si="9"/>
        <v>Normal</v>
      </c>
    </row>
    <row r="298" spans="1:18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f t="shared" si="8"/>
        <v>1</v>
      </c>
      <c r="R298" t="str">
        <f t="shared" si="9"/>
        <v>Normal</v>
      </c>
    </row>
    <row r="299" spans="1:18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>
        <f t="shared" si="8"/>
        <v>1</v>
      </c>
      <c r="R299" t="str">
        <f t="shared" si="9"/>
        <v>Normal</v>
      </c>
    </row>
    <row r="300" spans="1:18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f t="shared" si="8"/>
        <v>1</v>
      </c>
      <c r="R300" t="str">
        <f t="shared" si="9"/>
        <v>Normal</v>
      </c>
    </row>
    <row r="301" spans="1:18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1479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f t="shared" si="8"/>
        <v>1</v>
      </c>
      <c r="R301" t="str">
        <f t="shared" si="9"/>
        <v>Outlier</v>
      </c>
    </row>
    <row r="302" spans="1:18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f t="shared" si="8"/>
        <v>1</v>
      </c>
      <c r="R302" t="str">
        <f t="shared" si="9"/>
        <v>Normal</v>
      </c>
    </row>
    <row r="303" spans="1:18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f t="shared" si="8"/>
        <v>1</v>
      </c>
      <c r="R303" t="str">
        <f t="shared" si="9"/>
        <v>Normal</v>
      </c>
    </row>
    <row r="304" spans="1:18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f t="shared" si="8"/>
        <v>1</v>
      </c>
      <c r="R304" t="str">
        <f t="shared" si="9"/>
        <v>Outlier</v>
      </c>
    </row>
    <row r="305" spans="1:18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f t="shared" si="8"/>
        <v>1</v>
      </c>
      <c r="R305" t="str">
        <f t="shared" si="9"/>
        <v>Normal</v>
      </c>
    </row>
    <row r="306" spans="1:18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f t="shared" si="8"/>
        <v>1</v>
      </c>
      <c r="R306" t="str">
        <f t="shared" si="9"/>
        <v>Normal</v>
      </c>
    </row>
    <row r="307" spans="1:18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f t="shared" si="8"/>
        <v>1</v>
      </c>
      <c r="R307" t="str">
        <f t="shared" si="9"/>
        <v>Normal</v>
      </c>
    </row>
    <row r="308" spans="1:18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f t="shared" si="8"/>
        <v>1</v>
      </c>
      <c r="R308" t="str">
        <f t="shared" si="9"/>
        <v>Normal</v>
      </c>
    </row>
    <row r="309" spans="1:18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f t="shared" si="8"/>
        <v>1</v>
      </c>
      <c r="R309" t="str">
        <f t="shared" si="9"/>
        <v>Outlier</v>
      </c>
    </row>
    <row r="310" spans="1:18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f t="shared" si="8"/>
        <v>1</v>
      </c>
      <c r="R310" t="str">
        <f t="shared" si="9"/>
        <v>Normal</v>
      </c>
    </row>
    <row r="311" spans="1:18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f t="shared" si="8"/>
        <v>1</v>
      </c>
      <c r="R311" t="str">
        <f t="shared" si="9"/>
        <v>Normal</v>
      </c>
    </row>
    <row r="312" spans="1:18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f t="shared" si="8"/>
        <v>1</v>
      </c>
      <c r="R312" t="str">
        <f t="shared" si="9"/>
        <v>Normal</v>
      </c>
    </row>
    <row r="313" spans="1:18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f t="shared" si="8"/>
        <v>1</v>
      </c>
      <c r="R313" t="str">
        <f t="shared" si="9"/>
        <v>Normal</v>
      </c>
    </row>
    <row r="314" spans="1:18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f t="shared" si="8"/>
        <v>1</v>
      </c>
      <c r="R314" t="str">
        <f t="shared" si="9"/>
        <v>Normal</v>
      </c>
    </row>
    <row r="315" spans="1:18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f t="shared" si="8"/>
        <v>1</v>
      </c>
      <c r="R315" t="str">
        <f t="shared" si="9"/>
        <v>Normal</v>
      </c>
    </row>
    <row r="316" spans="1:18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f t="shared" si="8"/>
        <v>1</v>
      </c>
      <c r="R316" t="str">
        <f t="shared" si="9"/>
        <v>Normal</v>
      </c>
    </row>
    <row r="317" spans="1:18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f t="shared" si="8"/>
        <v>1</v>
      </c>
      <c r="R317" t="str">
        <f t="shared" si="9"/>
        <v>Normal</v>
      </c>
    </row>
    <row r="318" spans="1:18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f t="shared" si="8"/>
        <v>1</v>
      </c>
      <c r="R318" t="str">
        <f t="shared" si="9"/>
        <v>Normal</v>
      </c>
    </row>
    <row r="319" spans="1:18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f t="shared" si="8"/>
        <v>1</v>
      </c>
      <c r="R319" t="str">
        <f t="shared" si="9"/>
        <v>Normal</v>
      </c>
    </row>
    <row r="320" spans="1:18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f t="shared" si="8"/>
        <v>1</v>
      </c>
      <c r="R320" t="str">
        <f t="shared" si="9"/>
        <v>Normal</v>
      </c>
    </row>
    <row r="321" spans="1:18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>
        <f t="shared" si="8"/>
        <v>1</v>
      </c>
      <c r="R321" t="str">
        <f t="shared" si="9"/>
        <v>Normal</v>
      </c>
    </row>
    <row r="322" spans="1:18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f t="shared" ref="Q322:Q385" si="10">COUNTIF($A322:$A1729,A322)</f>
        <v>1</v>
      </c>
      <c r="R322" t="str">
        <f t="shared" si="9"/>
        <v>Normal</v>
      </c>
    </row>
    <row r="323" spans="1:18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f t="shared" si="10"/>
        <v>1</v>
      </c>
      <c r="R323" t="str">
        <f t="shared" ref="R323:R386" si="11">IF(L323&gt;$T329,"Outlier","Normal")</f>
        <v>Normal</v>
      </c>
    </row>
    <row r="324" spans="1:18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f t="shared" si="10"/>
        <v>1</v>
      </c>
      <c r="R324" t="str">
        <f t="shared" si="11"/>
        <v>Normal</v>
      </c>
    </row>
    <row r="325" spans="1:18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f t="shared" si="10"/>
        <v>1</v>
      </c>
      <c r="R325" t="str">
        <f t="shared" si="11"/>
        <v>Normal</v>
      </c>
    </row>
    <row r="326" spans="1:18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f t="shared" si="10"/>
        <v>1</v>
      </c>
      <c r="R326" t="str">
        <f t="shared" si="11"/>
        <v>Normal</v>
      </c>
    </row>
    <row r="327" spans="1:18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f t="shared" si="10"/>
        <v>1</v>
      </c>
      <c r="R327" t="str">
        <f t="shared" si="11"/>
        <v>Normal</v>
      </c>
    </row>
    <row r="328" spans="1:18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f t="shared" si="10"/>
        <v>1</v>
      </c>
      <c r="R328" t="str">
        <f t="shared" si="11"/>
        <v>Normal</v>
      </c>
    </row>
    <row r="329" spans="1:18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>
        <f t="shared" si="10"/>
        <v>1</v>
      </c>
      <c r="R329" t="str">
        <f t="shared" si="11"/>
        <v>Normal</v>
      </c>
    </row>
    <row r="330" spans="1:18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f t="shared" si="10"/>
        <v>1</v>
      </c>
      <c r="R330" t="str">
        <f t="shared" si="11"/>
        <v>Normal</v>
      </c>
    </row>
    <row r="331" spans="1:18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>
        <f t="shared" si="10"/>
        <v>1</v>
      </c>
      <c r="R331" t="str">
        <f t="shared" si="11"/>
        <v>Normal</v>
      </c>
    </row>
    <row r="332" spans="1:18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f t="shared" si="10"/>
        <v>1</v>
      </c>
      <c r="R332" t="str">
        <f t="shared" si="11"/>
        <v>Outlier</v>
      </c>
    </row>
    <row r="333" spans="1:18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>
        <f t="shared" si="10"/>
        <v>1</v>
      </c>
      <c r="R333" t="str">
        <f t="shared" si="11"/>
        <v>Normal</v>
      </c>
    </row>
    <row r="334" spans="1:18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f t="shared" si="10"/>
        <v>1</v>
      </c>
      <c r="R334" t="str">
        <f t="shared" si="11"/>
        <v>Normal</v>
      </c>
    </row>
    <row r="335" spans="1:18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f t="shared" si="10"/>
        <v>1</v>
      </c>
      <c r="R335" t="str">
        <f t="shared" si="11"/>
        <v>Normal</v>
      </c>
    </row>
    <row r="336" spans="1:18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f t="shared" si="10"/>
        <v>1</v>
      </c>
      <c r="R336" t="str">
        <f t="shared" si="11"/>
        <v>Outlier</v>
      </c>
    </row>
    <row r="337" spans="1:18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f t="shared" si="10"/>
        <v>1</v>
      </c>
      <c r="R337" t="str">
        <f t="shared" si="11"/>
        <v>Outlier</v>
      </c>
    </row>
    <row r="338" spans="1:18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f t="shared" si="10"/>
        <v>1</v>
      </c>
      <c r="R338" t="str">
        <f t="shared" si="11"/>
        <v>Normal</v>
      </c>
    </row>
    <row r="339" spans="1:18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>
        <f t="shared" si="10"/>
        <v>1</v>
      </c>
      <c r="R339" t="str">
        <f t="shared" si="11"/>
        <v>Normal</v>
      </c>
    </row>
    <row r="340" spans="1:18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f t="shared" si="10"/>
        <v>1</v>
      </c>
      <c r="R340" t="str">
        <f t="shared" si="11"/>
        <v>Normal</v>
      </c>
    </row>
    <row r="341" spans="1:18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f t="shared" si="10"/>
        <v>1</v>
      </c>
      <c r="R341" t="str">
        <f t="shared" si="11"/>
        <v>Normal</v>
      </c>
    </row>
    <row r="342" spans="1:18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f t="shared" si="10"/>
        <v>1</v>
      </c>
      <c r="R342" t="str">
        <f t="shared" si="11"/>
        <v>Normal</v>
      </c>
    </row>
    <row r="343" spans="1:18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f t="shared" si="10"/>
        <v>1</v>
      </c>
      <c r="R343" t="str">
        <f t="shared" si="11"/>
        <v>Normal</v>
      </c>
    </row>
    <row r="344" spans="1:18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f t="shared" si="10"/>
        <v>1</v>
      </c>
      <c r="R344" t="str">
        <f t="shared" si="11"/>
        <v>Normal</v>
      </c>
    </row>
    <row r="345" spans="1:18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>
        <f t="shared" si="10"/>
        <v>1</v>
      </c>
      <c r="R345" t="str">
        <f t="shared" si="11"/>
        <v>Normal</v>
      </c>
    </row>
    <row r="346" spans="1:18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f t="shared" si="10"/>
        <v>1</v>
      </c>
      <c r="R346" t="str">
        <f t="shared" si="11"/>
        <v>Normal</v>
      </c>
    </row>
    <row r="347" spans="1:18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f t="shared" si="10"/>
        <v>1</v>
      </c>
      <c r="R347" t="str">
        <f t="shared" si="11"/>
        <v>Normal</v>
      </c>
    </row>
    <row r="348" spans="1:18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>
        <f t="shared" si="10"/>
        <v>1</v>
      </c>
      <c r="R348" t="str">
        <f t="shared" si="11"/>
        <v>Normal</v>
      </c>
    </row>
    <row r="349" spans="1:18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f t="shared" si="10"/>
        <v>1</v>
      </c>
      <c r="R349" t="str">
        <f t="shared" si="11"/>
        <v>Normal</v>
      </c>
    </row>
    <row r="350" spans="1:18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f t="shared" si="10"/>
        <v>1</v>
      </c>
      <c r="R350" t="str">
        <f t="shared" si="11"/>
        <v>Normal</v>
      </c>
    </row>
    <row r="351" spans="1:18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f t="shared" si="10"/>
        <v>1</v>
      </c>
      <c r="R351" t="str">
        <f t="shared" si="11"/>
        <v>Normal</v>
      </c>
    </row>
    <row r="352" spans="1:18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>
        <f t="shared" si="10"/>
        <v>1</v>
      </c>
      <c r="R352" t="str">
        <f t="shared" si="11"/>
        <v>Normal</v>
      </c>
    </row>
    <row r="353" spans="1:18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f t="shared" si="10"/>
        <v>1</v>
      </c>
      <c r="R353" t="str">
        <f t="shared" si="11"/>
        <v>Normal</v>
      </c>
    </row>
    <row r="354" spans="1:18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f t="shared" si="10"/>
        <v>1</v>
      </c>
      <c r="R354" t="str">
        <f t="shared" si="11"/>
        <v>Normal</v>
      </c>
    </row>
    <row r="355" spans="1:18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>
        <f t="shared" si="10"/>
        <v>1</v>
      </c>
      <c r="R355" t="str">
        <f t="shared" si="11"/>
        <v>Normal</v>
      </c>
    </row>
    <row r="356" spans="1:18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f t="shared" si="10"/>
        <v>1</v>
      </c>
      <c r="R356" t="str">
        <f t="shared" si="11"/>
        <v>Normal</v>
      </c>
    </row>
    <row r="357" spans="1:18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f t="shared" si="10"/>
        <v>1</v>
      </c>
      <c r="R357" t="str">
        <f t="shared" si="11"/>
        <v>Normal</v>
      </c>
    </row>
    <row r="358" spans="1:18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f t="shared" si="10"/>
        <v>1</v>
      </c>
      <c r="R358" t="str">
        <f t="shared" si="11"/>
        <v>Normal</v>
      </c>
    </row>
    <row r="359" spans="1:18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f t="shared" si="10"/>
        <v>1</v>
      </c>
      <c r="R359" t="str">
        <f t="shared" si="11"/>
        <v>Normal</v>
      </c>
    </row>
    <row r="360" spans="1:18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f t="shared" si="10"/>
        <v>1</v>
      </c>
      <c r="R360" t="str">
        <f t="shared" si="11"/>
        <v>Normal</v>
      </c>
    </row>
    <row r="361" spans="1:18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f t="shared" si="10"/>
        <v>1</v>
      </c>
      <c r="R361" t="str">
        <f t="shared" si="11"/>
        <v>Normal</v>
      </c>
    </row>
    <row r="362" spans="1:18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>
        <f t="shared" si="10"/>
        <v>1</v>
      </c>
      <c r="R362" t="str">
        <f t="shared" si="11"/>
        <v>Normal</v>
      </c>
    </row>
    <row r="363" spans="1:18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f t="shared" si="10"/>
        <v>1</v>
      </c>
      <c r="R363" t="str">
        <f t="shared" si="11"/>
        <v>Normal</v>
      </c>
    </row>
    <row r="364" spans="1:18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f t="shared" si="10"/>
        <v>1</v>
      </c>
      <c r="R364" t="str">
        <f t="shared" si="11"/>
        <v>Normal</v>
      </c>
    </row>
    <row r="365" spans="1:18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>
        <f t="shared" si="10"/>
        <v>1</v>
      </c>
      <c r="R365" t="str">
        <f t="shared" si="11"/>
        <v>Normal</v>
      </c>
    </row>
    <row r="366" spans="1:18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f t="shared" si="10"/>
        <v>1</v>
      </c>
      <c r="R366" t="str">
        <f t="shared" si="11"/>
        <v>Normal</v>
      </c>
    </row>
    <row r="367" spans="1:18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f t="shared" si="10"/>
        <v>1</v>
      </c>
      <c r="R367" t="str">
        <f t="shared" si="11"/>
        <v>Normal</v>
      </c>
    </row>
    <row r="368" spans="1:18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f t="shared" si="10"/>
        <v>1</v>
      </c>
      <c r="R368" t="str">
        <f t="shared" si="11"/>
        <v>Normal</v>
      </c>
    </row>
    <row r="369" spans="1:18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f t="shared" si="10"/>
        <v>1</v>
      </c>
      <c r="R369" t="str">
        <f t="shared" si="11"/>
        <v>Normal</v>
      </c>
    </row>
    <row r="370" spans="1:18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f t="shared" si="10"/>
        <v>1</v>
      </c>
      <c r="R370" t="str">
        <f t="shared" si="11"/>
        <v>Normal</v>
      </c>
    </row>
    <row r="371" spans="1:18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f t="shared" si="10"/>
        <v>1</v>
      </c>
      <c r="R371" t="str">
        <f t="shared" si="11"/>
        <v>Normal</v>
      </c>
    </row>
    <row r="372" spans="1:18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>
        <f t="shared" si="10"/>
        <v>1</v>
      </c>
      <c r="R372" t="str">
        <f t="shared" si="11"/>
        <v>Normal</v>
      </c>
    </row>
    <row r="373" spans="1:18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f t="shared" si="10"/>
        <v>1</v>
      </c>
      <c r="R373" t="str">
        <f t="shared" si="11"/>
        <v>Normal</v>
      </c>
    </row>
    <row r="374" spans="1:18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>
        <f t="shared" si="10"/>
        <v>1</v>
      </c>
      <c r="R374" t="str">
        <f t="shared" si="11"/>
        <v>Normal</v>
      </c>
    </row>
    <row r="375" spans="1:18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f t="shared" si="10"/>
        <v>1</v>
      </c>
      <c r="R375" t="str">
        <f t="shared" si="11"/>
        <v>Normal</v>
      </c>
    </row>
    <row r="376" spans="1:18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f t="shared" si="10"/>
        <v>1</v>
      </c>
      <c r="R376" t="str">
        <f t="shared" si="11"/>
        <v>Normal</v>
      </c>
    </row>
    <row r="377" spans="1:18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f t="shared" si="10"/>
        <v>1</v>
      </c>
      <c r="R377" t="str">
        <f t="shared" si="11"/>
        <v>Normal</v>
      </c>
    </row>
    <row r="378" spans="1:18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f t="shared" si="10"/>
        <v>1</v>
      </c>
      <c r="R378" t="str">
        <f t="shared" si="11"/>
        <v>Normal</v>
      </c>
    </row>
    <row r="379" spans="1:18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f t="shared" si="10"/>
        <v>1</v>
      </c>
      <c r="R379" t="str">
        <f t="shared" si="11"/>
        <v>Normal</v>
      </c>
    </row>
    <row r="380" spans="1:18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f t="shared" si="10"/>
        <v>1</v>
      </c>
      <c r="R380" t="str">
        <f t="shared" si="11"/>
        <v>Normal</v>
      </c>
    </row>
    <row r="381" spans="1:18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f t="shared" si="10"/>
        <v>1</v>
      </c>
      <c r="R381" t="str">
        <f t="shared" si="11"/>
        <v>Normal</v>
      </c>
    </row>
    <row r="382" spans="1:18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f t="shared" si="10"/>
        <v>1</v>
      </c>
      <c r="R382" t="str">
        <f t="shared" si="11"/>
        <v>Normal</v>
      </c>
    </row>
    <row r="383" spans="1:18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f t="shared" si="10"/>
        <v>1</v>
      </c>
      <c r="R383" t="str">
        <f t="shared" si="11"/>
        <v>Normal</v>
      </c>
    </row>
    <row r="384" spans="1:18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f t="shared" si="10"/>
        <v>1</v>
      </c>
      <c r="R384" t="str">
        <f t="shared" si="11"/>
        <v>Normal</v>
      </c>
    </row>
    <row r="385" spans="1:18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>
        <f t="shared" si="10"/>
        <v>1</v>
      </c>
      <c r="R385" t="str">
        <f t="shared" si="11"/>
        <v>Normal</v>
      </c>
    </row>
    <row r="386" spans="1:18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>
        <f t="shared" ref="Q386:Q449" si="12">COUNTIF($A386:$A1793,A386)</f>
        <v>1</v>
      </c>
      <c r="R386" t="str">
        <f t="shared" si="11"/>
        <v>Normal</v>
      </c>
    </row>
    <row r="387" spans="1:18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f t="shared" si="12"/>
        <v>1</v>
      </c>
      <c r="R387" t="str">
        <f t="shared" ref="R387:R450" si="13">IF(L387&gt;$T393,"Outlier","Normal")</f>
        <v>Normal</v>
      </c>
    </row>
    <row r="388" spans="1:18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f t="shared" si="12"/>
        <v>1</v>
      </c>
      <c r="R388" t="str">
        <f t="shared" si="13"/>
        <v>Normal</v>
      </c>
    </row>
    <row r="389" spans="1:18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>
        <f t="shared" si="12"/>
        <v>1</v>
      </c>
      <c r="R389" t="str">
        <f t="shared" si="13"/>
        <v>Normal</v>
      </c>
    </row>
    <row r="390" spans="1:18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f t="shared" si="12"/>
        <v>1</v>
      </c>
      <c r="R390" t="str">
        <f t="shared" si="13"/>
        <v>Normal</v>
      </c>
    </row>
    <row r="391" spans="1:18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f t="shared" si="12"/>
        <v>1</v>
      </c>
      <c r="R391" t="str">
        <f t="shared" si="13"/>
        <v>Normal</v>
      </c>
    </row>
    <row r="392" spans="1:18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f t="shared" si="12"/>
        <v>1</v>
      </c>
      <c r="R392" t="str">
        <f t="shared" si="13"/>
        <v>Normal</v>
      </c>
    </row>
    <row r="393" spans="1:18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f t="shared" si="12"/>
        <v>1</v>
      </c>
      <c r="R393" t="str">
        <f t="shared" si="13"/>
        <v>Normal</v>
      </c>
    </row>
    <row r="394" spans="1:18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f t="shared" si="12"/>
        <v>1</v>
      </c>
      <c r="R394" t="str">
        <f t="shared" si="13"/>
        <v>Normal</v>
      </c>
    </row>
    <row r="395" spans="1:18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f t="shared" si="12"/>
        <v>1</v>
      </c>
      <c r="R395" t="str">
        <f t="shared" si="13"/>
        <v>Normal</v>
      </c>
    </row>
    <row r="396" spans="1:18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f t="shared" si="12"/>
        <v>1</v>
      </c>
      <c r="R396" t="str">
        <f t="shared" si="13"/>
        <v>Normal</v>
      </c>
    </row>
    <row r="397" spans="1:18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f t="shared" si="12"/>
        <v>1</v>
      </c>
      <c r="R397" t="str">
        <f t="shared" si="13"/>
        <v>Normal</v>
      </c>
    </row>
    <row r="398" spans="1:18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f t="shared" si="12"/>
        <v>1</v>
      </c>
      <c r="R398" t="str">
        <f t="shared" si="13"/>
        <v>Normal</v>
      </c>
    </row>
    <row r="399" spans="1:18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f t="shared" si="12"/>
        <v>1</v>
      </c>
      <c r="R399" t="str">
        <f t="shared" si="13"/>
        <v>Normal</v>
      </c>
    </row>
    <row r="400" spans="1:18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>
        <f t="shared" si="12"/>
        <v>1</v>
      </c>
      <c r="R400" t="str">
        <f t="shared" si="13"/>
        <v>Normal</v>
      </c>
    </row>
    <row r="401" spans="1:18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f t="shared" si="12"/>
        <v>1</v>
      </c>
      <c r="R401" t="str">
        <f t="shared" si="13"/>
        <v>Normal</v>
      </c>
    </row>
    <row r="402" spans="1:18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f t="shared" si="12"/>
        <v>1</v>
      </c>
      <c r="R402" t="str">
        <f t="shared" si="13"/>
        <v>Normal</v>
      </c>
    </row>
    <row r="403" spans="1:18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f t="shared" si="12"/>
        <v>1</v>
      </c>
      <c r="R403" t="str">
        <f t="shared" si="13"/>
        <v>Normal</v>
      </c>
    </row>
    <row r="404" spans="1:18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>
        <f t="shared" si="12"/>
        <v>1</v>
      </c>
      <c r="R404" t="str">
        <f t="shared" si="13"/>
        <v>Normal</v>
      </c>
    </row>
    <row r="405" spans="1:18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>
        <f t="shared" si="12"/>
        <v>1</v>
      </c>
      <c r="R405" t="str">
        <f t="shared" si="13"/>
        <v>Normal</v>
      </c>
    </row>
    <row r="406" spans="1:18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f t="shared" si="12"/>
        <v>1</v>
      </c>
      <c r="R406" t="str">
        <f t="shared" si="13"/>
        <v>Normal</v>
      </c>
    </row>
    <row r="407" spans="1:18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f t="shared" si="12"/>
        <v>1</v>
      </c>
      <c r="R407" t="str">
        <f t="shared" si="13"/>
        <v>Normal</v>
      </c>
    </row>
    <row r="408" spans="1:18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f t="shared" si="12"/>
        <v>1</v>
      </c>
      <c r="R408" t="str">
        <f t="shared" si="13"/>
        <v>Normal</v>
      </c>
    </row>
    <row r="409" spans="1:18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f t="shared" si="12"/>
        <v>1</v>
      </c>
      <c r="R409" t="str">
        <f t="shared" si="13"/>
        <v>Normal</v>
      </c>
    </row>
    <row r="410" spans="1:18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f t="shared" si="12"/>
        <v>1</v>
      </c>
      <c r="R410" t="str">
        <f t="shared" si="13"/>
        <v>Normal</v>
      </c>
    </row>
    <row r="411" spans="1:18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f t="shared" si="12"/>
        <v>1</v>
      </c>
      <c r="R411" t="str">
        <f t="shared" si="13"/>
        <v>Normal</v>
      </c>
    </row>
    <row r="412" spans="1:18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f t="shared" si="12"/>
        <v>1</v>
      </c>
      <c r="R412" t="str">
        <f t="shared" si="13"/>
        <v>Outlier</v>
      </c>
    </row>
    <row r="413" spans="1:18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f t="shared" si="12"/>
        <v>1</v>
      </c>
      <c r="R413" t="str">
        <f t="shared" si="13"/>
        <v>Normal</v>
      </c>
    </row>
    <row r="414" spans="1:18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f t="shared" si="12"/>
        <v>1</v>
      </c>
      <c r="R414" t="str">
        <f t="shared" si="13"/>
        <v>Normal</v>
      </c>
    </row>
    <row r="415" spans="1:18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>
        <f t="shared" si="12"/>
        <v>1</v>
      </c>
      <c r="R415" t="str">
        <f t="shared" si="13"/>
        <v>Normal</v>
      </c>
    </row>
    <row r="416" spans="1:18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f t="shared" si="12"/>
        <v>1</v>
      </c>
      <c r="R416" t="str">
        <f t="shared" si="13"/>
        <v>Normal</v>
      </c>
    </row>
    <row r="417" spans="1:18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f t="shared" si="12"/>
        <v>1</v>
      </c>
      <c r="R417" t="str">
        <f t="shared" si="13"/>
        <v>Normal</v>
      </c>
    </row>
    <row r="418" spans="1:18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f t="shared" si="12"/>
        <v>1</v>
      </c>
      <c r="R418" t="str">
        <f t="shared" si="13"/>
        <v>Normal</v>
      </c>
    </row>
    <row r="419" spans="1:18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f t="shared" si="12"/>
        <v>1</v>
      </c>
      <c r="R419" t="str">
        <f t="shared" si="13"/>
        <v>Normal</v>
      </c>
    </row>
    <row r="420" spans="1:18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f t="shared" si="12"/>
        <v>1</v>
      </c>
      <c r="R420" t="str">
        <f t="shared" si="13"/>
        <v>Normal</v>
      </c>
    </row>
    <row r="421" spans="1:18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f t="shared" si="12"/>
        <v>1</v>
      </c>
      <c r="R421" t="str">
        <f t="shared" si="13"/>
        <v>Normal</v>
      </c>
    </row>
    <row r="422" spans="1:18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f t="shared" si="12"/>
        <v>1</v>
      </c>
      <c r="R422" t="str">
        <f t="shared" si="13"/>
        <v>Normal</v>
      </c>
    </row>
    <row r="423" spans="1:18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f t="shared" si="12"/>
        <v>1</v>
      </c>
      <c r="R423" t="str">
        <f t="shared" si="13"/>
        <v>Normal</v>
      </c>
    </row>
    <row r="424" spans="1:18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>
        <f t="shared" si="12"/>
        <v>1</v>
      </c>
      <c r="R424" t="str">
        <f t="shared" si="13"/>
        <v>Normal</v>
      </c>
    </row>
    <row r="425" spans="1:18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f t="shared" si="12"/>
        <v>1</v>
      </c>
      <c r="R425" t="str">
        <f t="shared" si="13"/>
        <v>Normal</v>
      </c>
    </row>
    <row r="426" spans="1:18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>
        <f t="shared" si="12"/>
        <v>1</v>
      </c>
      <c r="R426" t="str">
        <f t="shared" si="13"/>
        <v>Normal</v>
      </c>
    </row>
    <row r="427" spans="1:18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f t="shared" si="12"/>
        <v>1</v>
      </c>
      <c r="R427" t="str">
        <f t="shared" si="13"/>
        <v>Normal</v>
      </c>
    </row>
    <row r="428" spans="1:18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f t="shared" si="12"/>
        <v>1</v>
      </c>
      <c r="R428" t="str">
        <f t="shared" si="13"/>
        <v>Normal</v>
      </c>
    </row>
    <row r="429" spans="1:18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f t="shared" si="12"/>
        <v>1</v>
      </c>
      <c r="R429" t="str">
        <f t="shared" si="13"/>
        <v>Normal</v>
      </c>
    </row>
    <row r="430" spans="1:18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f t="shared" si="12"/>
        <v>1</v>
      </c>
      <c r="R430" t="str">
        <f t="shared" si="13"/>
        <v>Normal</v>
      </c>
    </row>
    <row r="431" spans="1:18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f t="shared" si="12"/>
        <v>1</v>
      </c>
      <c r="R431" t="str">
        <f t="shared" si="13"/>
        <v>Normal</v>
      </c>
    </row>
    <row r="432" spans="1:18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f t="shared" si="12"/>
        <v>1</v>
      </c>
      <c r="R432" t="str">
        <f t="shared" si="13"/>
        <v>Normal</v>
      </c>
    </row>
    <row r="433" spans="1:18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f t="shared" si="12"/>
        <v>1</v>
      </c>
      <c r="R433" t="str">
        <f t="shared" si="13"/>
        <v>Normal</v>
      </c>
    </row>
    <row r="434" spans="1:18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f t="shared" si="12"/>
        <v>1</v>
      </c>
      <c r="R434" t="str">
        <f t="shared" si="13"/>
        <v>Normal</v>
      </c>
    </row>
    <row r="435" spans="1:18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f t="shared" si="12"/>
        <v>1</v>
      </c>
      <c r="R435" t="str">
        <f t="shared" si="13"/>
        <v>Normal</v>
      </c>
    </row>
    <row r="436" spans="1:18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>
        <f t="shared" si="12"/>
        <v>1</v>
      </c>
      <c r="R436" t="str">
        <f t="shared" si="13"/>
        <v>Normal</v>
      </c>
    </row>
    <row r="437" spans="1:18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>
        <f t="shared" si="12"/>
        <v>1</v>
      </c>
      <c r="R437" t="str">
        <f t="shared" si="13"/>
        <v>Normal</v>
      </c>
    </row>
    <row r="438" spans="1:18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>
        <f t="shared" si="12"/>
        <v>1</v>
      </c>
      <c r="R438" t="str">
        <f t="shared" si="13"/>
        <v>Normal</v>
      </c>
    </row>
    <row r="439" spans="1:18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f t="shared" si="12"/>
        <v>1</v>
      </c>
      <c r="R439" t="str">
        <f t="shared" si="13"/>
        <v>Normal</v>
      </c>
    </row>
    <row r="440" spans="1:18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f t="shared" si="12"/>
        <v>1</v>
      </c>
      <c r="R440" t="str">
        <f t="shared" si="13"/>
        <v>Normal</v>
      </c>
    </row>
    <row r="441" spans="1:18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f t="shared" si="12"/>
        <v>1</v>
      </c>
      <c r="R441" t="str">
        <f t="shared" si="13"/>
        <v>Outlier</v>
      </c>
    </row>
    <row r="442" spans="1:18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f t="shared" si="12"/>
        <v>1</v>
      </c>
      <c r="R442" t="str">
        <f t="shared" si="13"/>
        <v>Normal</v>
      </c>
    </row>
    <row r="443" spans="1:18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f t="shared" si="12"/>
        <v>1</v>
      </c>
      <c r="R443" t="str">
        <f t="shared" si="13"/>
        <v>Normal</v>
      </c>
    </row>
    <row r="444" spans="1:18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f t="shared" si="12"/>
        <v>1</v>
      </c>
      <c r="R444" t="str">
        <f t="shared" si="13"/>
        <v>Normal</v>
      </c>
    </row>
    <row r="445" spans="1:18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f t="shared" si="12"/>
        <v>1</v>
      </c>
      <c r="R445" t="str">
        <f t="shared" si="13"/>
        <v>Normal</v>
      </c>
    </row>
    <row r="446" spans="1:18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f t="shared" si="12"/>
        <v>1</v>
      </c>
      <c r="R446" t="str">
        <f t="shared" si="13"/>
        <v>Normal</v>
      </c>
    </row>
    <row r="447" spans="1:18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f t="shared" si="12"/>
        <v>1</v>
      </c>
      <c r="R447" t="str">
        <f t="shared" si="13"/>
        <v>Normal</v>
      </c>
    </row>
    <row r="448" spans="1:18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f t="shared" si="12"/>
        <v>1</v>
      </c>
      <c r="R448" t="str">
        <f t="shared" si="13"/>
        <v>Normal</v>
      </c>
    </row>
    <row r="449" spans="1:18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f t="shared" si="12"/>
        <v>1</v>
      </c>
      <c r="R449" t="str">
        <f t="shared" si="13"/>
        <v>Normal</v>
      </c>
    </row>
    <row r="450" spans="1:18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f t="shared" ref="Q450:Q513" si="14">COUNTIF($A450:$A1857,A450)</f>
        <v>1</v>
      </c>
      <c r="R450" t="str">
        <f t="shared" si="13"/>
        <v>Normal</v>
      </c>
    </row>
    <row r="451" spans="1:18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f t="shared" si="14"/>
        <v>1</v>
      </c>
      <c r="R451" t="str">
        <f t="shared" ref="R451:R514" si="15">IF(L451&gt;$T457,"Outlier","Normal")</f>
        <v>Normal</v>
      </c>
    </row>
    <row r="452" spans="1:18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f t="shared" si="14"/>
        <v>1</v>
      </c>
      <c r="R452" t="str">
        <f t="shared" si="15"/>
        <v>Normal</v>
      </c>
    </row>
    <row r="453" spans="1:18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f t="shared" si="14"/>
        <v>1</v>
      </c>
      <c r="R453" t="str">
        <f t="shared" si="15"/>
        <v>Normal</v>
      </c>
    </row>
    <row r="454" spans="1:18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f t="shared" si="14"/>
        <v>1</v>
      </c>
      <c r="R454" t="str">
        <f t="shared" si="15"/>
        <v>Normal</v>
      </c>
    </row>
    <row r="455" spans="1:18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f t="shared" si="14"/>
        <v>1</v>
      </c>
      <c r="R455" t="str">
        <f t="shared" si="15"/>
        <v>Normal</v>
      </c>
    </row>
    <row r="456" spans="1:18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1479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f t="shared" si="14"/>
        <v>1</v>
      </c>
      <c r="R456" t="str">
        <f t="shared" si="15"/>
        <v>Normal</v>
      </c>
    </row>
    <row r="457" spans="1:18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f t="shared" si="14"/>
        <v>1</v>
      </c>
      <c r="R457" t="str">
        <f t="shared" si="15"/>
        <v>Normal</v>
      </c>
    </row>
    <row r="458" spans="1:18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f t="shared" si="14"/>
        <v>1</v>
      </c>
      <c r="R458" t="str">
        <f t="shared" si="15"/>
        <v>Normal</v>
      </c>
    </row>
    <row r="459" spans="1:18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f t="shared" si="14"/>
        <v>1</v>
      </c>
      <c r="R459" t="str">
        <f t="shared" si="15"/>
        <v>Normal</v>
      </c>
    </row>
    <row r="460" spans="1:18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f t="shared" si="14"/>
        <v>1</v>
      </c>
      <c r="R460" t="str">
        <f t="shared" si="15"/>
        <v>Normal</v>
      </c>
    </row>
    <row r="461" spans="1:18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f t="shared" si="14"/>
        <v>1</v>
      </c>
      <c r="R461" t="str">
        <f t="shared" si="15"/>
        <v>Normal</v>
      </c>
    </row>
    <row r="462" spans="1:18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f t="shared" si="14"/>
        <v>1</v>
      </c>
      <c r="R462" t="str">
        <f t="shared" si="15"/>
        <v>Normal</v>
      </c>
    </row>
    <row r="463" spans="1:18">
      <c r="A463" t="s">
        <v>493</v>
      </c>
      <c r="B463" s="2">
        <v>45796</v>
      </c>
      <c r="C463" t="s">
        <v>17</v>
      </c>
      <c r="D463" t="s">
        <v>18</v>
      </c>
      <c r="E463" t="s">
        <v>1479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f t="shared" si="14"/>
        <v>1</v>
      </c>
      <c r="R463" t="str">
        <f t="shared" si="15"/>
        <v>Normal</v>
      </c>
    </row>
    <row r="464" spans="1:18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f t="shared" si="14"/>
        <v>1</v>
      </c>
      <c r="R464" t="str">
        <f t="shared" si="15"/>
        <v>Normal</v>
      </c>
    </row>
    <row r="465" spans="1:18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f t="shared" si="14"/>
        <v>1</v>
      </c>
      <c r="R465" t="str">
        <f t="shared" si="15"/>
        <v>Normal</v>
      </c>
    </row>
    <row r="466" spans="1:18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1479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f t="shared" si="14"/>
        <v>1</v>
      </c>
      <c r="R466" t="str">
        <f t="shared" si="15"/>
        <v>Normal</v>
      </c>
    </row>
    <row r="467" spans="1:18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>
        <f t="shared" si="14"/>
        <v>1</v>
      </c>
      <c r="R467" t="str">
        <f t="shared" si="15"/>
        <v>Normal</v>
      </c>
    </row>
    <row r="468" spans="1:18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f t="shared" si="14"/>
        <v>1</v>
      </c>
      <c r="R468" t="str">
        <f t="shared" si="15"/>
        <v>Normal</v>
      </c>
    </row>
    <row r="469" spans="1:18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f t="shared" si="14"/>
        <v>1</v>
      </c>
      <c r="R469" t="str">
        <f t="shared" si="15"/>
        <v>Normal</v>
      </c>
    </row>
    <row r="470" spans="1:18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f t="shared" si="14"/>
        <v>1</v>
      </c>
      <c r="R470" t="str">
        <f t="shared" si="15"/>
        <v>Normal</v>
      </c>
    </row>
    <row r="471" spans="1:18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f t="shared" si="14"/>
        <v>1</v>
      </c>
      <c r="R471" t="str">
        <f t="shared" si="15"/>
        <v>Normal</v>
      </c>
    </row>
    <row r="472" spans="1:18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f t="shared" si="14"/>
        <v>1</v>
      </c>
      <c r="R472" t="str">
        <f t="shared" si="15"/>
        <v>Normal</v>
      </c>
    </row>
    <row r="473" spans="1:18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f t="shared" si="14"/>
        <v>1</v>
      </c>
      <c r="R473" t="str">
        <f t="shared" si="15"/>
        <v>Normal</v>
      </c>
    </row>
    <row r="474" spans="1:18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f t="shared" si="14"/>
        <v>1</v>
      </c>
      <c r="R474" t="str">
        <f t="shared" si="15"/>
        <v>Normal</v>
      </c>
    </row>
    <row r="475" spans="1:18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f t="shared" si="14"/>
        <v>1</v>
      </c>
      <c r="R475" t="str">
        <f t="shared" si="15"/>
        <v>Normal</v>
      </c>
    </row>
    <row r="476" spans="1:18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f t="shared" si="14"/>
        <v>1</v>
      </c>
      <c r="R476" t="str">
        <f t="shared" si="15"/>
        <v>Normal</v>
      </c>
    </row>
    <row r="477" spans="1:18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f t="shared" si="14"/>
        <v>1</v>
      </c>
      <c r="R477" t="str">
        <f t="shared" si="15"/>
        <v>Normal</v>
      </c>
    </row>
    <row r="478" spans="1:18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f t="shared" si="14"/>
        <v>1</v>
      </c>
      <c r="R478" t="str">
        <f t="shared" si="15"/>
        <v>Normal</v>
      </c>
    </row>
    <row r="479" spans="1:18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f t="shared" si="14"/>
        <v>1</v>
      </c>
      <c r="R479" t="str">
        <f t="shared" si="15"/>
        <v>Normal</v>
      </c>
    </row>
    <row r="480" spans="1:18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>
        <f t="shared" si="14"/>
        <v>1</v>
      </c>
      <c r="R480" t="str">
        <f t="shared" si="15"/>
        <v>Normal</v>
      </c>
    </row>
    <row r="481" spans="1:18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>
        <f t="shared" si="14"/>
        <v>1</v>
      </c>
      <c r="R481" t="str">
        <f t="shared" si="15"/>
        <v>Normal</v>
      </c>
    </row>
    <row r="482" spans="1:18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f t="shared" si="14"/>
        <v>1</v>
      </c>
      <c r="R482" t="str">
        <f t="shared" si="15"/>
        <v>Normal</v>
      </c>
    </row>
    <row r="483" spans="1:18">
      <c r="A483" t="s">
        <v>513</v>
      </c>
      <c r="B483" s="2">
        <v>45701</v>
      </c>
      <c r="C483" t="s">
        <v>17</v>
      </c>
      <c r="D483" t="s">
        <v>18</v>
      </c>
      <c r="E483" t="s">
        <v>1479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f t="shared" si="14"/>
        <v>1</v>
      </c>
      <c r="R483" t="str">
        <f t="shared" si="15"/>
        <v>Normal</v>
      </c>
    </row>
    <row r="484" spans="1:18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f t="shared" si="14"/>
        <v>1</v>
      </c>
      <c r="R484" t="str">
        <f t="shared" si="15"/>
        <v>Normal</v>
      </c>
    </row>
    <row r="485" spans="1:18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f t="shared" si="14"/>
        <v>1</v>
      </c>
      <c r="R485" t="str">
        <f t="shared" si="15"/>
        <v>Normal</v>
      </c>
    </row>
    <row r="486" spans="1:18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f t="shared" si="14"/>
        <v>1</v>
      </c>
      <c r="R486" t="str">
        <f t="shared" si="15"/>
        <v>Normal</v>
      </c>
    </row>
    <row r="487" spans="1:18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f t="shared" si="14"/>
        <v>1</v>
      </c>
      <c r="R487" t="str">
        <f t="shared" si="15"/>
        <v>Normal</v>
      </c>
    </row>
    <row r="488" spans="1:18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f t="shared" si="14"/>
        <v>1</v>
      </c>
      <c r="R488" t="str">
        <f t="shared" si="15"/>
        <v>Normal</v>
      </c>
    </row>
    <row r="489" spans="1:18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f t="shared" si="14"/>
        <v>1</v>
      </c>
      <c r="R489" t="str">
        <f t="shared" si="15"/>
        <v>Normal</v>
      </c>
    </row>
    <row r="490" spans="1:18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f t="shared" si="14"/>
        <v>1</v>
      </c>
      <c r="R490" t="str">
        <f t="shared" si="15"/>
        <v>Normal</v>
      </c>
    </row>
    <row r="491" spans="1:18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>
        <f t="shared" si="14"/>
        <v>1</v>
      </c>
      <c r="R491" t="str">
        <f t="shared" si="15"/>
        <v>Normal</v>
      </c>
    </row>
    <row r="492" spans="1:18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f t="shared" si="14"/>
        <v>1</v>
      </c>
      <c r="R492" t="str">
        <f t="shared" si="15"/>
        <v>Normal</v>
      </c>
    </row>
    <row r="493" spans="1:18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f t="shared" si="14"/>
        <v>1</v>
      </c>
      <c r="R493" t="str">
        <f t="shared" si="15"/>
        <v>Normal</v>
      </c>
    </row>
    <row r="494" spans="1:18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f t="shared" si="14"/>
        <v>1</v>
      </c>
      <c r="R494" t="str">
        <f t="shared" si="15"/>
        <v>Normal</v>
      </c>
    </row>
    <row r="495" spans="1:18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f t="shared" si="14"/>
        <v>1</v>
      </c>
      <c r="R495" t="str">
        <f t="shared" si="15"/>
        <v>Normal</v>
      </c>
    </row>
    <row r="496" spans="1:18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f t="shared" si="14"/>
        <v>1</v>
      </c>
      <c r="R496" t="str">
        <f t="shared" si="15"/>
        <v>Normal</v>
      </c>
    </row>
    <row r="497" spans="1:18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f t="shared" si="14"/>
        <v>1</v>
      </c>
      <c r="R497" t="str">
        <f t="shared" si="15"/>
        <v>Normal</v>
      </c>
    </row>
    <row r="498" spans="1:18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f t="shared" si="14"/>
        <v>1</v>
      </c>
      <c r="R498" t="str">
        <f t="shared" si="15"/>
        <v>Normal</v>
      </c>
    </row>
    <row r="499" spans="1:18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f t="shared" si="14"/>
        <v>1</v>
      </c>
      <c r="R499" t="str">
        <f t="shared" si="15"/>
        <v>Normal</v>
      </c>
    </row>
    <row r="500" spans="1:18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f t="shared" si="14"/>
        <v>1</v>
      </c>
      <c r="R500" t="str">
        <f t="shared" si="15"/>
        <v>Normal</v>
      </c>
    </row>
    <row r="501" spans="1:18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f t="shared" si="14"/>
        <v>1</v>
      </c>
      <c r="R501" t="str">
        <f t="shared" si="15"/>
        <v>Normal</v>
      </c>
    </row>
    <row r="502" spans="1:18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f t="shared" si="14"/>
        <v>1</v>
      </c>
      <c r="R502" t="str">
        <f t="shared" si="15"/>
        <v>Outlier</v>
      </c>
    </row>
    <row r="503" spans="1:18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f t="shared" si="14"/>
        <v>1</v>
      </c>
      <c r="R503" t="str">
        <f t="shared" si="15"/>
        <v>Normal</v>
      </c>
    </row>
    <row r="504" spans="1:18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f t="shared" si="14"/>
        <v>1</v>
      </c>
      <c r="R504" t="str">
        <f t="shared" si="15"/>
        <v>Normal</v>
      </c>
    </row>
    <row r="505" spans="1:18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f t="shared" si="14"/>
        <v>1</v>
      </c>
      <c r="R505" t="str">
        <f t="shared" si="15"/>
        <v>Normal</v>
      </c>
    </row>
    <row r="506" spans="1:18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f t="shared" si="14"/>
        <v>1</v>
      </c>
      <c r="R506" t="str">
        <f t="shared" si="15"/>
        <v>Normal</v>
      </c>
    </row>
    <row r="507" spans="1:18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f t="shared" si="14"/>
        <v>1</v>
      </c>
      <c r="R507" t="str">
        <f t="shared" si="15"/>
        <v>Normal</v>
      </c>
    </row>
    <row r="508" spans="1:18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f t="shared" si="14"/>
        <v>1</v>
      </c>
      <c r="R508" t="str">
        <f t="shared" si="15"/>
        <v>Normal</v>
      </c>
    </row>
    <row r="509" spans="1:18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f t="shared" si="14"/>
        <v>1</v>
      </c>
      <c r="R509" t="str">
        <f t="shared" si="15"/>
        <v>Normal</v>
      </c>
    </row>
    <row r="510" spans="1:18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>
        <f t="shared" si="14"/>
        <v>1</v>
      </c>
      <c r="R510" t="str">
        <f t="shared" si="15"/>
        <v>Normal</v>
      </c>
    </row>
    <row r="511" spans="1:18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f t="shared" si="14"/>
        <v>1</v>
      </c>
      <c r="R511" t="str">
        <f t="shared" si="15"/>
        <v>Normal</v>
      </c>
    </row>
    <row r="512" spans="1:18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f t="shared" si="14"/>
        <v>1</v>
      </c>
      <c r="R512" t="str">
        <f t="shared" si="15"/>
        <v>Normal</v>
      </c>
    </row>
    <row r="513" spans="1:18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f t="shared" si="14"/>
        <v>1</v>
      </c>
      <c r="R513" t="str">
        <f t="shared" si="15"/>
        <v>Normal</v>
      </c>
    </row>
    <row r="514" spans="1:18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1479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f t="shared" ref="Q514:Q577" si="16">COUNTIF($A514:$A1921,A514)</f>
        <v>1</v>
      </c>
      <c r="R514" t="str">
        <f t="shared" si="15"/>
        <v>Normal</v>
      </c>
    </row>
    <row r="515" spans="1:18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f t="shared" si="16"/>
        <v>1</v>
      </c>
      <c r="R515" t="str">
        <f t="shared" ref="R515:R578" si="17">IF(L515&gt;$T521,"Outlier","Normal")</f>
        <v>Normal</v>
      </c>
    </row>
    <row r="516" spans="1:18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>
        <f t="shared" si="16"/>
        <v>1</v>
      </c>
      <c r="R516" t="str">
        <f t="shared" si="17"/>
        <v>Normal</v>
      </c>
    </row>
    <row r="517" spans="1:18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f t="shared" si="16"/>
        <v>1</v>
      </c>
      <c r="R517" t="str">
        <f t="shared" si="17"/>
        <v>Normal</v>
      </c>
    </row>
    <row r="518" spans="1:18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f t="shared" si="16"/>
        <v>1</v>
      </c>
      <c r="R518" t="str">
        <f t="shared" si="17"/>
        <v>Normal</v>
      </c>
    </row>
    <row r="519" spans="1:18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f t="shared" si="16"/>
        <v>1</v>
      </c>
      <c r="R519" t="str">
        <f t="shared" si="17"/>
        <v>Normal</v>
      </c>
    </row>
    <row r="520" spans="1:18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f t="shared" si="16"/>
        <v>1</v>
      </c>
      <c r="R520" t="str">
        <f t="shared" si="17"/>
        <v>Normal</v>
      </c>
    </row>
    <row r="521" spans="1:18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f t="shared" si="16"/>
        <v>1</v>
      </c>
      <c r="R521" t="str">
        <f t="shared" si="17"/>
        <v>Normal</v>
      </c>
    </row>
    <row r="522" spans="1:18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f t="shared" si="16"/>
        <v>1</v>
      </c>
      <c r="R522" t="str">
        <f t="shared" si="17"/>
        <v>Normal</v>
      </c>
    </row>
    <row r="523" spans="1:18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f t="shared" si="16"/>
        <v>1</v>
      </c>
      <c r="R523" t="str">
        <f t="shared" si="17"/>
        <v>Normal</v>
      </c>
    </row>
    <row r="524" spans="1:18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f t="shared" si="16"/>
        <v>1</v>
      </c>
      <c r="R524" t="str">
        <f t="shared" si="17"/>
        <v>Normal</v>
      </c>
    </row>
    <row r="525" spans="1:18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f t="shared" si="16"/>
        <v>1</v>
      </c>
      <c r="R525" t="str">
        <f t="shared" si="17"/>
        <v>Normal</v>
      </c>
    </row>
    <row r="526" spans="1:18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f t="shared" si="16"/>
        <v>1</v>
      </c>
      <c r="R526" t="str">
        <f t="shared" si="17"/>
        <v>Normal</v>
      </c>
    </row>
    <row r="527" spans="1:18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f t="shared" si="16"/>
        <v>1</v>
      </c>
      <c r="R527" t="str">
        <f t="shared" si="17"/>
        <v>Normal</v>
      </c>
    </row>
    <row r="528" spans="1:18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>
        <f t="shared" si="16"/>
        <v>1</v>
      </c>
      <c r="R528" t="str">
        <f t="shared" si="17"/>
        <v>Normal</v>
      </c>
    </row>
    <row r="529" spans="1:18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f t="shared" si="16"/>
        <v>1</v>
      </c>
      <c r="R529" t="str">
        <f t="shared" si="17"/>
        <v>Normal</v>
      </c>
    </row>
    <row r="530" spans="1:18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f t="shared" si="16"/>
        <v>1</v>
      </c>
      <c r="R530" t="str">
        <f t="shared" si="17"/>
        <v>Normal</v>
      </c>
    </row>
    <row r="531" spans="1:18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f t="shared" si="16"/>
        <v>1</v>
      </c>
      <c r="R531" t="str">
        <f t="shared" si="17"/>
        <v>Normal</v>
      </c>
    </row>
    <row r="532" spans="1:18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f t="shared" si="16"/>
        <v>1</v>
      </c>
      <c r="R532" t="str">
        <f t="shared" si="17"/>
        <v>Normal</v>
      </c>
    </row>
    <row r="533" spans="1:18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f t="shared" si="16"/>
        <v>1</v>
      </c>
      <c r="R533" t="str">
        <f t="shared" si="17"/>
        <v>Normal</v>
      </c>
    </row>
    <row r="534" spans="1:18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>
        <f t="shared" si="16"/>
        <v>1</v>
      </c>
      <c r="R534" t="str">
        <f t="shared" si="17"/>
        <v>Normal</v>
      </c>
    </row>
    <row r="535" spans="1:18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f t="shared" si="16"/>
        <v>1</v>
      </c>
      <c r="R535" t="str">
        <f t="shared" si="17"/>
        <v>Normal</v>
      </c>
    </row>
    <row r="536" spans="1:18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f t="shared" si="16"/>
        <v>1</v>
      </c>
      <c r="R536" t="str">
        <f t="shared" si="17"/>
        <v>Normal</v>
      </c>
    </row>
    <row r="537" spans="1:18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f t="shared" si="16"/>
        <v>1</v>
      </c>
      <c r="R537" t="str">
        <f t="shared" si="17"/>
        <v>Normal</v>
      </c>
    </row>
    <row r="538" spans="1:18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f t="shared" si="16"/>
        <v>1</v>
      </c>
      <c r="R538" t="str">
        <f t="shared" si="17"/>
        <v>Normal</v>
      </c>
    </row>
    <row r="539" spans="1:18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f t="shared" si="16"/>
        <v>1</v>
      </c>
      <c r="R539" t="str">
        <f t="shared" si="17"/>
        <v>Normal</v>
      </c>
    </row>
    <row r="540" spans="1:18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f t="shared" si="16"/>
        <v>1</v>
      </c>
      <c r="R540" t="str">
        <f t="shared" si="17"/>
        <v>Normal</v>
      </c>
    </row>
    <row r="541" spans="1:18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f t="shared" si="16"/>
        <v>1</v>
      </c>
      <c r="R541" t="str">
        <f t="shared" si="17"/>
        <v>Normal</v>
      </c>
    </row>
    <row r="542" spans="1:18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f t="shared" si="16"/>
        <v>1</v>
      </c>
      <c r="R542" t="str">
        <f t="shared" si="17"/>
        <v>Normal</v>
      </c>
    </row>
    <row r="543" spans="1:18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>
        <f t="shared" si="16"/>
        <v>1</v>
      </c>
      <c r="R543" t="str">
        <f t="shared" si="17"/>
        <v>Normal</v>
      </c>
    </row>
    <row r="544" spans="1:18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f t="shared" si="16"/>
        <v>1</v>
      </c>
      <c r="R544" t="str">
        <f t="shared" si="17"/>
        <v>Normal</v>
      </c>
    </row>
    <row r="545" spans="1:18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f t="shared" si="16"/>
        <v>1</v>
      </c>
      <c r="R545" t="str">
        <f t="shared" si="17"/>
        <v>Normal</v>
      </c>
    </row>
    <row r="546" spans="1:18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f t="shared" si="16"/>
        <v>1</v>
      </c>
      <c r="R546" t="str">
        <f t="shared" si="17"/>
        <v>Normal</v>
      </c>
    </row>
    <row r="547" spans="1:18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f t="shared" si="16"/>
        <v>1</v>
      </c>
      <c r="R547" t="str">
        <f t="shared" si="17"/>
        <v>Normal</v>
      </c>
    </row>
    <row r="548" spans="1:18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f t="shared" si="16"/>
        <v>1</v>
      </c>
      <c r="R548" t="str">
        <f t="shared" si="17"/>
        <v>Normal</v>
      </c>
    </row>
    <row r="549" spans="1:18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f t="shared" si="16"/>
        <v>1</v>
      </c>
      <c r="R549" t="str">
        <f t="shared" si="17"/>
        <v>Normal</v>
      </c>
    </row>
    <row r="550" spans="1:18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>
        <f t="shared" si="16"/>
        <v>1</v>
      </c>
      <c r="R550" t="str">
        <f t="shared" si="17"/>
        <v>Normal</v>
      </c>
    </row>
    <row r="551" spans="1:18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f t="shared" si="16"/>
        <v>1</v>
      </c>
      <c r="R551" t="str">
        <f t="shared" si="17"/>
        <v>Normal</v>
      </c>
    </row>
    <row r="552" spans="1:18">
      <c r="A552" t="s">
        <v>582</v>
      </c>
      <c r="B552" s="2">
        <v>45699</v>
      </c>
      <c r="C552" t="s">
        <v>17</v>
      </c>
      <c r="D552" t="s">
        <v>28</v>
      </c>
      <c r="E552" t="s">
        <v>1479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f t="shared" si="16"/>
        <v>1</v>
      </c>
      <c r="R552" t="str">
        <f t="shared" si="17"/>
        <v>Normal</v>
      </c>
    </row>
    <row r="553" spans="1:18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f t="shared" si="16"/>
        <v>1</v>
      </c>
      <c r="R553" t="str">
        <f t="shared" si="17"/>
        <v>Normal</v>
      </c>
    </row>
    <row r="554" spans="1:18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>
        <f t="shared" si="16"/>
        <v>1</v>
      </c>
      <c r="R554" t="str">
        <f t="shared" si="17"/>
        <v>Normal</v>
      </c>
    </row>
    <row r="555" spans="1:18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f t="shared" si="16"/>
        <v>1</v>
      </c>
      <c r="R555" t="str">
        <f t="shared" si="17"/>
        <v>Normal</v>
      </c>
    </row>
    <row r="556" spans="1:18">
      <c r="A556" t="s">
        <v>586</v>
      </c>
      <c r="B556" s="2">
        <v>45699</v>
      </c>
      <c r="C556" t="s">
        <v>17</v>
      </c>
      <c r="D556" t="s">
        <v>32</v>
      </c>
      <c r="E556" t="s">
        <v>1479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f t="shared" si="16"/>
        <v>1</v>
      </c>
      <c r="R556" t="str">
        <f t="shared" si="17"/>
        <v>Normal</v>
      </c>
    </row>
    <row r="557" spans="1:18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>
        <f t="shared" si="16"/>
        <v>1</v>
      </c>
      <c r="R557" t="str">
        <f t="shared" si="17"/>
        <v>Normal</v>
      </c>
    </row>
    <row r="558" spans="1:18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f t="shared" si="16"/>
        <v>1</v>
      </c>
      <c r="R558" t="str">
        <f t="shared" si="17"/>
        <v>Normal</v>
      </c>
    </row>
    <row r="559" spans="1:18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f t="shared" si="16"/>
        <v>1</v>
      </c>
      <c r="R559" t="str">
        <f t="shared" si="17"/>
        <v>Normal</v>
      </c>
    </row>
    <row r="560" spans="1:18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f t="shared" si="16"/>
        <v>1</v>
      </c>
      <c r="R560" t="str">
        <f t="shared" si="17"/>
        <v>Normal</v>
      </c>
    </row>
    <row r="561" spans="1:18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f t="shared" si="16"/>
        <v>1</v>
      </c>
      <c r="R561" t="str">
        <f t="shared" si="17"/>
        <v>Normal</v>
      </c>
    </row>
    <row r="562" spans="1:18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f t="shared" si="16"/>
        <v>1</v>
      </c>
      <c r="R562" t="str">
        <f t="shared" si="17"/>
        <v>Normal</v>
      </c>
    </row>
    <row r="563" spans="1:18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f t="shared" si="16"/>
        <v>1</v>
      </c>
      <c r="R563" t="str">
        <f t="shared" si="17"/>
        <v>Normal</v>
      </c>
    </row>
    <row r="564" spans="1:18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>
        <f t="shared" si="16"/>
        <v>1</v>
      </c>
      <c r="R564" t="str">
        <f t="shared" si="17"/>
        <v>Normal</v>
      </c>
    </row>
    <row r="565" spans="1:18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>
        <f t="shared" si="16"/>
        <v>1</v>
      </c>
      <c r="R565" t="str">
        <f t="shared" si="17"/>
        <v>Normal</v>
      </c>
    </row>
    <row r="566" spans="1:18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f t="shared" si="16"/>
        <v>1</v>
      </c>
      <c r="R566" t="str">
        <f t="shared" si="17"/>
        <v>Normal</v>
      </c>
    </row>
    <row r="567" spans="1:18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>
        <f t="shared" si="16"/>
        <v>1</v>
      </c>
      <c r="R567" t="str">
        <f t="shared" si="17"/>
        <v>Normal</v>
      </c>
    </row>
    <row r="568" spans="1:18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>
        <f t="shared" si="16"/>
        <v>1</v>
      </c>
      <c r="R568" t="str">
        <f t="shared" si="17"/>
        <v>Normal</v>
      </c>
    </row>
    <row r="569" spans="1:18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f t="shared" si="16"/>
        <v>1</v>
      </c>
      <c r="R569" t="str">
        <f t="shared" si="17"/>
        <v>Normal</v>
      </c>
    </row>
    <row r="570" spans="1:18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f t="shared" si="16"/>
        <v>1</v>
      </c>
      <c r="R570" t="str">
        <f t="shared" si="17"/>
        <v>Normal</v>
      </c>
    </row>
    <row r="571" spans="1:18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f t="shared" si="16"/>
        <v>1</v>
      </c>
      <c r="R571" t="str">
        <f t="shared" si="17"/>
        <v>Normal</v>
      </c>
    </row>
    <row r="572" spans="1:18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f t="shared" si="16"/>
        <v>1</v>
      </c>
      <c r="R572" t="str">
        <f t="shared" si="17"/>
        <v>Normal</v>
      </c>
    </row>
    <row r="573" spans="1:18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f t="shared" si="16"/>
        <v>1</v>
      </c>
      <c r="R573" t="str">
        <f t="shared" si="17"/>
        <v>Normal</v>
      </c>
    </row>
    <row r="574" spans="1:18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f t="shared" si="16"/>
        <v>1</v>
      </c>
      <c r="R574" t="str">
        <f t="shared" si="17"/>
        <v>Normal</v>
      </c>
    </row>
    <row r="575" spans="1:18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f t="shared" si="16"/>
        <v>1</v>
      </c>
      <c r="R575" t="str">
        <f t="shared" si="17"/>
        <v>Normal</v>
      </c>
    </row>
    <row r="576" spans="1:18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f t="shared" si="16"/>
        <v>1</v>
      </c>
      <c r="R576" t="str">
        <f t="shared" si="17"/>
        <v>Normal</v>
      </c>
    </row>
    <row r="577" spans="1:18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f t="shared" si="16"/>
        <v>1</v>
      </c>
      <c r="R577" t="str">
        <f t="shared" si="17"/>
        <v>Normal</v>
      </c>
    </row>
    <row r="578" spans="1:18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>
        <f t="shared" ref="Q578:Q641" si="18">COUNTIF($A578:$A1985,A578)</f>
        <v>1</v>
      </c>
      <c r="R578" t="str">
        <f t="shared" si="17"/>
        <v>Normal</v>
      </c>
    </row>
    <row r="579" spans="1:18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f t="shared" si="18"/>
        <v>1</v>
      </c>
      <c r="R579" t="str">
        <f t="shared" ref="R579:R642" si="19">IF(L579&gt;$T585,"Outlier","Normal")</f>
        <v>Normal</v>
      </c>
    </row>
    <row r="580" spans="1:18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f t="shared" si="18"/>
        <v>1</v>
      </c>
      <c r="R580" t="str">
        <f t="shared" si="19"/>
        <v>Normal</v>
      </c>
    </row>
    <row r="581" spans="1:18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f t="shared" si="18"/>
        <v>1</v>
      </c>
      <c r="R581" t="str">
        <f t="shared" si="19"/>
        <v>Normal</v>
      </c>
    </row>
    <row r="582" spans="1:18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f t="shared" si="18"/>
        <v>1</v>
      </c>
      <c r="R582" t="str">
        <f t="shared" si="19"/>
        <v>Normal</v>
      </c>
    </row>
    <row r="583" spans="1:18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f t="shared" si="18"/>
        <v>1</v>
      </c>
      <c r="R583" t="str">
        <f t="shared" si="19"/>
        <v>Normal</v>
      </c>
    </row>
    <row r="584" spans="1:18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f t="shared" si="18"/>
        <v>1</v>
      </c>
      <c r="R584" t="str">
        <f t="shared" si="19"/>
        <v>Normal</v>
      </c>
    </row>
    <row r="585" spans="1:18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f t="shared" si="18"/>
        <v>1</v>
      </c>
      <c r="R585" t="str">
        <f t="shared" si="19"/>
        <v>Normal</v>
      </c>
    </row>
    <row r="586" spans="1:18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f t="shared" si="18"/>
        <v>1</v>
      </c>
      <c r="R586" t="str">
        <f t="shared" si="19"/>
        <v>Normal</v>
      </c>
    </row>
    <row r="587" spans="1:18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>
        <f t="shared" si="18"/>
        <v>1</v>
      </c>
      <c r="R587" t="str">
        <f t="shared" si="19"/>
        <v>Normal</v>
      </c>
    </row>
    <row r="588" spans="1:18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f t="shared" si="18"/>
        <v>1</v>
      </c>
      <c r="R588" t="str">
        <f t="shared" si="19"/>
        <v>Normal</v>
      </c>
    </row>
    <row r="589" spans="1:18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>
        <f t="shared" si="18"/>
        <v>1</v>
      </c>
      <c r="R589" t="str">
        <f t="shared" si="19"/>
        <v>Normal</v>
      </c>
    </row>
    <row r="590" spans="1:18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f t="shared" si="18"/>
        <v>1</v>
      </c>
      <c r="R590" t="str">
        <f t="shared" si="19"/>
        <v>Normal</v>
      </c>
    </row>
    <row r="591" spans="1:18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f t="shared" si="18"/>
        <v>1</v>
      </c>
      <c r="R591" t="str">
        <f t="shared" si="19"/>
        <v>Normal</v>
      </c>
    </row>
    <row r="592" spans="1:18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f t="shared" si="18"/>
        <v>1</v>
      </c>
      <c r="R592" t="str">
        <f t="shared" si="19"/>
        <v>Normal</v>
      </c>
    </row>
    <row r="593" spans="1:18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f t="shared" si="18"/>
        <v>1</v>
      </c>
      <c r="R593" t="str">
        <f t="shared" si="19"/>
        <v>Normal</v>
      </c>
    </row>
    <row r="594" spans="1:18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f t="shared" si="18"/>
        <v>1</v>
      </c>
      <c r="R594" t="str">
        <f t="shared" si="19"/>
        <v>Normal</v>
      </c>
    </row>
    <row r="595" spans="1:18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f t="shared" si="18"/>
        <v>1</v>
      </c>
      <c r="R595" t="str">
        <f t="shared" si="19"/>
        <v>Outlier</v>
      </c>
    </row>
    <row r="596" spans="1:18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f t="shared" si="18"/>
        <v>1</v>
      </c>
      <c r="R596" t="str">
        <f t="shared" si="19"/>
        <v>Normal</v>
      </c>
    </row>
    <row r="597" spans="1:18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>
        <f t="shared" si="18"/>
        <v>1</v>
      </c>
      <c r="R597" t="str">
        <f t="shared" si="19"/>
        <v>Normal</v>
      </c>
    </row>
    <row r="598" spans="1:18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f t="shared" si="18"/>
        <v>1</v>
      </c>
      <c r="R598" t="str">
        <f t="shared" si="19"/>
        <v>Normal</v>
      </c>
    </row>
    <row r="599" spans="1:18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f t="shared" si="18"/>
        <v>1</v>
      </c>
      <c r="R599" t="str">
        <f t="shared" si="19"/>
        <v>Normal</v>
      </c>
    </row>
    <row r="600" spans="1:18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f t="shared" si="18"/>
        <v>1</v>
      </c>
      <c r="R600" t="str">
        <f t="shared" si="19"/>
        <v>Normal</v>
      </c>
    </row>
    <row r="601" spans="1:18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f t="shared" si="18"/>
        <v>1</v>
      </c>
      <c r="R601" t="str">
        <f t="shared" si="19"/>
        <v>Normal</v>
      </c>
    </row>
    <row r="602" spans="1:18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f t="shared" si="18"/>
        <v>1</v>
      </c>
      <c r="R602" t="str">
        <f t="shared" si="19"/>
        <v>Normal</v>
      </c>
    </row>
    <row r="603" spans="1:18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>
        <f t="shared" si="18"/>
        <v>1</v>
      </c>
      <c r="R603" t="str">
        <f t="shared" si="19"/>
        <v>Normal</v>
      </c>
    </row>
    <row r="604" spans="1:18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f t="shared" si="18"/>
        <v>1</v>
      </c>
      <c r="R604" t="str">
        <f t="shared" si="19"/>
        <v>Normal</v>
      </c>
    </row>
    <row r="605" spans="1:18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f t="shared" si="18"/>
        <v>1</v>
      </c>
      <c r="R605" t="str">
        <f t="shared" si="19"/>
        <v>Normal</v>
      </c>
    </row>
    <row r="606" spans="1:18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f t="shared" si="18"/>
        <v>1</v>
      </c>
      <c r="R606" t="str">
        <f t="shared" si="19"/>
        <v>Normal</v>
      </c>
    </row>
    <row r="607" spans="1:18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f t="shared" si="18"/>
        <v>1</v>
      </c>
      <c r="R607" t="str">
        <f t="shared" si="19"/>
        <v>Normal</v>
      </c>
    </row>
    <row r="608" spans="1:18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f t="shared" si="18"/>
        <v>1</v>
      </c>
      <c r="R608" t="str">
        <f t="shared" si="19"/>
        <v>Normal</v>
      </c>
    </row>
    <row r="609" spans="1:18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f t="shared" si="18"/>
        <v>1</v>
      </c>
      <c r="R609" t="str">
        <f t="shared" si="19"/>
        <v>Normal</v>
      </c>
    </row>
    <row r="610" spans="1:18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f t="shared" si="18"/>
        <v>1</v>
      </c>
      <c r="R610" t="str">
        <f t="shared" si="19"/>
        <v>Normal</v>
      </c>
    </row>
    <row r="611" spans="1:18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f t="shared" si="18"/>
        <v>1</v>
      </c>
      <c r="R611" t="str">
        <f t="shared" si="19"/>
        <v>Normal</v>
      </c>
    </row>
    <row r="612" spans="1:18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f t="shared" si="18"/>
        <v>1</v>
      </c>
      <c r="R612" t="str">
        <f t="shared" si="19"/>
        <v>Normal</v>
      </c>
    </row>
    <row r="613" spans="1:18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f t="shared" si="18"/>
        <v>1</v>
      </c>
      <c r="R613" t="str">
        <f t="shared" si="19"/>
        <v>Normal</v>
      </c>
    </row>
    <row r="614" spans="1:18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f t="shared" si="18"/>
        <v>1</v>
      </c>
      <c r="R614" t="str">
        <f t="shared" si="19"/>
        <v>Normal</v>
      </c>
    </row>
    <row r="615" spans="1:18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f t="shared" si="18"/>
        <v>1</v>
      </c>
      <c r="R615" t="str">
        <f t="shared" si="19"/>
        <v>Normal</v>
      </c>
    </row>
    <row r="616" spans="1:18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f t="shared" si="18"/>
        <v>1</v>
      </c>
      <c r="R616" t="str">
        <f t="shared" si="19"/>
        <v>Normal</v>
      </c>
    </row>
    <row r="617" spans="1:18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f t="shared" si="18"/>
        <v>1</v>
      </c>
      <c r="R617" t="str">
        <f t="shared" si="19"/>
        <v>Normal</v>
      </c>
    </row>
    <row r="618" spans="1:18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f t="shared" si="18"/>
        <v>1</v>
      </c>
      <c r="R618" t="str">
        <f t="shared" si="19"/>
        <v>Normal</v>
      </c>
    </row>
    <row r="619" spans="1:18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f t="shared" si="18"/>
        <v>1</v>
      </c>
      <c r="R619" t="str">
        <f t="shared" si="19"/>
        <v>Normal</v>
      </c>
    </row>
    <row r="620" spans="1:18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f t="shared" si="18"/>
        <v>1</v>
      </c>
      <c r="R620" t="str">
        <f t="shared" si="19"/>
        <v>Normal</v>
      </c>
    </row>
    <row r="621" spans="1:18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f t="shared" si="18"/>
        <v>1</v>
      </c>
      <c r="R621" t="str">
        <f t="shared" si="19"/>
        <v>Normal</v>
      </c>
    </row>
    <row r="622" spans="1:18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f t="shared" si="18"/>
        <v>1</v>
      </c>
      <c r="R622" t="str">
        <f t="shared" si="19"/>
        <v>Normal</v>
      </c>
    </row>
    <row r="623" spans="1:18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f t="shared" si="18"/>
        <v>1</v>
      </c>
      <c r="R623" t="str">
        <f t="shared" si="19"/>
        <v>Normal</v>
      </c>
    </row>
    <row r="624" spans="1:18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f t="shared" si="18"/>
        <v>1</v>
      </c>
      <c r="R624" t="str">
        <f t="shared" si="19"/>
        <v>Normal</v>
      </c>
    </row>
    <row r="625" spans="1:18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f t="shared" si="18"/>
        <v>1</v>
      </c>
      <c r="R625" t="str">
        <f t="shared" si="19"/>
        <v>Normal</v>
      </c>
    </row>
    <row r="626" spans="1:18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f t="shared" si="18"/>
        <v>1</v>
      </c>
      <c r="R626" t="str">
        <f t="shared" si="19"/>
        <v>Normal</v>
      </c>
    </row>
    <row r="627" spans="1:18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f t="shared" si="18"/>
        <v>1</v>
      </c>
      <c r="R627" t="str">
        <f t="shared" si="19"/>
        <v>Normal</v>
      </c>
    </row>
    <row r="628" spans="1:18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f t="shared" si="18"/>
        <v>1</v>
      </c>
      <c r="R628" t="str">
        <f t="shared" si="19"/>
        <v>Normal</v>
      </c>
    </row>
    <row r="629" spans="1:18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>
        <f t="shared" si="18"/>
        <v>1</v>
      </c>
      <c r="R629" t="str">
        <f t="shared" si="19"/>
        <v>Normal</v>
      </c>
    </row>
    <row r="630" spans="1:18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f t="shared" si="18"/>
        <v>1</v>
      </c>
      <c r="R630" t="str">
        <f t="shared" si="19"/>
        <v>Normal</v>
      </c>
    </row>
    <row r="631" spans="1:18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f t="shared" si="18"/>
        <v>1</v>
      </c>
      <c r="R631" t="str">
        <f t="shared" si="19"/>
        <v>Normal</v>
      </c>
    </row>
    <row r="632" spans="1:18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f t="shared" si="18"/>
        <v>1</v>
      </c>
      <c r="R632" t="str">
        <f t="shared" si="19"/>
        <v>Normal</v>
      </c>
    </row>
    <row r="633" spans="1:18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>
        <f t="shared" si="18"/>
        <v>1</v>
      </c>
      <c r="R633" t="str">
        <f t="shared" si="19"/>
        <v>Normal</v>
      </c>
    </row>
    <row r="634" spans="1:18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f t="shared" si="18"/>
        <v>1</v>
      </c>
      <c r="R634" t="str">
        <f t="shared" si="19"/>
        <v>Normal</v>
      </c>
    </row>
    <row r="635" spans="1:18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f t="shared" si="18"/>
        <v>1</v>
      </c>
      <c r="R635" t="str">
        <f t="shared" si="19"/>
        <v>Normal</v>
      </c>
    </row>
    <row r="636" spans="1:18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1479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f t="shared" si="18"/>
        <v>1</v>
      </c>
      <c r="R636" t="str">
        <f t="shared" si="19"/>
        <v>Normal</v>
      </c>
    </row>
    <row r="637" spans="1:18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f t="shared" si="18"/>
        <v>1</v>
      </c>
      <c r="R637" t="str">
        <f t="shared" si="19"/>
        <v>Normal</v>
      </c>
    </row>
    <row r="638" spans="1:18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f t="shared" si="18"/>
        <v>1</v>
      </c>
      <c r="R638" t="str">
        <f t="shared" si="19"/>
        <v>Normal</v>
      </c>
    </row>
    <row r="639" spans="1:18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f t="shared" si="18"/>
        <v>1</v>
      </c>
      <c r="R639" t="str">
        <f t="shared" si="19"/>
        <v>Normal</v>
      </c>
    </row>
    <row r="640" spans="1:18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f t="shared" si="18"/>
        <v>1</v>
      </c>
      <c r="R640" t="str">
        <f t="shared" si="19"/>
        <v>Normal</v>
      </c>
    </row>
    <row r="641" spans="1:18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f t="shared" si="18"/>
        <v>1</v>
      </c>
      <c r="R641" t="str">
        <f t="shared" si="19"/>
        <v>Normal</v>
      </c>
    </row>
    <row r="642" spans="1:18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f t="shared" ref="Q642:Q705" si="20">COUNTIF($A642:$A2049,A642)</f>
        <v>1</v>
      </c>
      <c r="R642" t="str">
        <f t="shared" si="19"/>
        <v>Normal</v>
      </c>
    </row>
    <row r="643" spans="1:18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f t="shared" si="20"/>
        <v>1</v>
      </c>
      <c r="R643" t="str">
        <f t="shared" ref="R643:R706" si="21">IF(L643&gt;$T649,"Outlier","Normal")</f>
        <v>Normal</v>
      </c>
    </row>
    <row r="644" spans="1:18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f t="shared" si="20"/>
        <v>1</v>
      </c>
      <c r="R644" t="str">
        <f t="shared" si="21"/>
        <v>Normal</v>
      </c>
    </row>
    <row r="645" spans="1:18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f t="shared" si="20"/>
        <v>1</v>
      </c>
      <c r="R645" t="str">
        <f t="shared" si="21"/>
        <v>Normal</v>
      </c>
    </row>
    <row r="646" spans="1:18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f t="shared" si="20"/>
        <v>1</v>
      </c>
      <c r="R646" t="str">
        <f t="shared" si="21"/>
        <v>Normal</v>
      </c>
    </row>
    <row r="647" spans="1:18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f t="shared" si="20"/>
        <v>1</v>
      </c>
      <c r="R647" t="str">
        <f t="shared" si="21"/>
        <v>Normal</v>
      </c>
    </row>
    <row r="648" spans="1:18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f t="shared" si="20"/>
        <v>1</v>
      </c>
      <c r="R648" t="str">
        <f t="shared" si="21"/>
        <v>Normal</v>
      </c>
    </row>
    <row r="649" spans="1:18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>
        <f t="shared" si="20"/>
        <v>1</v>
      </c>
      <c r="R649" t="str">
        <f t="shared" si="21"/>
        <v>Normal</v>
      </c>
    </row>
    <row r="650" spans="1:18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f t="shared" si="20"/>
        <v>1</v>
      </c>
      <c r="R650" t="str">
        <f t="shared" si="21"/>
        <v>Normal</v>
      </c>
    </row>
    <row r="651" spans="1:18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f t="shared" si="20"/>
        <v>1</v>
      </c>
      <c r="R651" t="str">
        <f t="shared" si="21"/>
        <v>Normal</v>
      </c>
    </row>
    <row r="652" spans="1:18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f t="shared" si="20"/>
        <v>1</v>
      </c>
      <c r="R652" t="str">
        <f t="shared" si="21"/>
        <v>Normal</v>
      </c>
    </row>
    <row r="653" spans="1:18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f t="shared" si="20"/>
        <v>1</v>
      </c>
      <c r="R653" t="str">
        <f t="shared" si="21"/>
        <v>Normal</v>
      </c>
    </row>
    <row r="654" spans="1:18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f t="shared" si="20"/>
        <v>1</v>
      </c>
      <c r="R654" t="str">
        <f t="shared" si="21"/>
        <v>Normal</v>
      </c>
    </row>
    <row r="655" spans="1:18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f t="shared" si="20"/>
        <v>1</v>
      </c>
      <c r="R655" t="str">
        <f t="shared" si="21"/>
        <v>Normal</v>
      </c>
    </row>
    <row r="656" spans="1:18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f t="shared" si="20"/>
        <v>1</v>
      </c>
      <c r="R656" t="str">
        <f t="shared" si="21"/>
        <v>Normal</v>
      </c>
    </row>
    <row r="657" spans="1:18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f t="shared" si="20"/>
        <v>1</v>
      </c>
      <c r="R657" t="str">
        <f t="shared" si="21"/>
        <v>Normal</v>
      </c>
    </row>
    <row r="658" spans="1:18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f t="shared" si="20"/>
        <v>1</v>
      </c>
      <c r="R658" t="str">
        <f t="shared" si="21"/>
        <v>Normal</v>
      </c>
    </row>
    <row r="659" spans="1:18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f t="shared" si="20"/>
        <v>1</v>
      </c>
      <c r="R659" t="str">
        <f t="shared" si="21"/>
        <v>Normal</v>
      </c>
    </row>
    <row r="660" spans="1:18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>
        <f t="shared" si="20"/>
        <v>1</v>
      </c>
      <c r="R660" t="str">
        <f t="shared" si="21"/>
        <v>Normal</v>
      </c>
    </row>
    <row r="661" spans="1:18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f t="shared" si="20"/>
        <v>1</v>
      </c>
      <c r="R661" t="str">
        <f t="shared" si="21"/>
        <v>Outlier</v>
      </c>
    </row>
    <row r="662" spans="1:18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>
        <f t="shared" si="20"/>
        <v>1</v>
      </c>
      <c r="R662" t="str">
        <f t="shared" si="21"/>
        <v>Normal</v>
      </c>
    </row>
    <row r="663" spans="1:18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f t="shared" si="20"/>
        <v>1</v>
      </c>
      <c r="R663" t="str">
        <f t="shared" si="21"/>
        <v>Normal</v>
      </c>
    </row>
    <row r="664" spans="1:18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f t="shared" si="20"/>
        <v>1</v>
      </c>
      <c r="R664" t="str">
        <f t="shared" si="21"/>
        <v>Normal</v>
      </c>
    </row>
    <row r="665" spans="1:18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f t="shared" si="20"/>
        <v>1</v>
      </c>
      <c r="R665" t="str">
        <f t="shared" si="21"/>
        <v>Normal</v>
      </c>
    </row>
    <row r="666" spans="1:18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>
        <f t="shared" si="20"/>
        <v>1</v>
      </c>
      <c r="R666" t="str">
        <f t="shared" si="21"/>
        <v>Normal</v>
      </c>
    </row>
    <row r="667" spans="1:18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f t="shared" si="20"/>
        <v>1</v>
      </c>
      <c r="R667" t="str">
        <f t="shared" si="21"/>
        <v>Normal</v>
      </c>
    </row>
    <row r="668" spans="1:18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f t="shared" si="20"/>
        <v>1</v>
      </c>
      <c r="R668" t="str">
        <f t="shared" si="21"/>
        <v>Normal</v>
      </c>
    </row>
    <row r="669" spans="1:18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f t="shared" si="20"/>
        <v>1</v>
      </c>
      <c r="R669" t="str">
        <f t="shared" si="21"/>
        <v>Normal</v>
      </c>
    </row>
    <row r="670" spans="1:18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f t="shared" si="20"/>
        <v>1</v>
      </c>
      <c r="R670" t="str">
        <f t="shared" si="21"/>
        <v>Normal</v>
      </c>
    </row>
    <row r="671" spans="1:18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f t="shared" si="20"/>
        <v>1</v>
      </c>
      <c r="R671" t="str">
        <f t="shared" si="21"/>
        <v>Normal</v>
      </c>
    </row>
    <row r="672" spans="1:18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f t="shared" si="20"/>
        <v>1</v>
      </c>
      <c r="R672" t="str">
        <f t="shared" si="21"/>
        <v>Normal</v>
      </c>
    </row>
    <row r="673" spans="1:18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f t="shared" si="20"/>
        <v>1</v>
      </c>
      <c r="R673" t="str">
        <f t="shared" si="21"/>
        <v>Normal</v>
      </c>
    </row>
    <row r="674" spans="1:18">
      <c r="A674" t="s">
        <v>704</v>
      </c>
      <c r="B674" s="2">
        <v>45667</v>
      </c>
      <c r="C674" t="s">
        <v>17</v>
      </c>
      <c r="D674" t="s">
        <v>23</v>
      </c>
      <c r="E674" t="s">
        <v>1479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>
        <f t="shared" si="20"/>
        <v>1</v>
      </c>
      <c r="R674" t="str">
        <f t="shared" si="21"/>
        <v>Normal</v>
      </c>
    </row>
    <row r="675" spans="1:18">
      <c r="A675" t="s">
        <v>705</v>
      </c>
      <c r="B675" s="2">
        <v>45737</v>
      </c>
      <c r="C675" t="s">
        <v>17</v>
      </c>
      <c r="D675" t="s">
        <v>32</v>
      </c>
      <c r="E675" t="s">
        <v>1479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>
        <f t="shared" si="20"/>
        <v>1</v>
      </c>
      <c r="R675" t="str">
        <f t="shared" si="21"/>
        <v>Normal</v>
      </c>
    </row>
    <row r="676" spans="1:18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f t="shared" si="20"/>
        <v>1</v>
      </c>
      <c r="R676" t="str">
        <f t="shared" si="21"/>
        <v>Normal</v>
      </c>
    </row>
    <row r="677" spans="1:18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f t="shared" si="20"/>
        <v>1</v>
      </c>
      <c r="R677" t="str">
        <f t="shared" si="21"/>
        <v>Normal</v>
      </c>
    </row>
    <row r="678" spans="1:18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f t="shared" si="20"/>
        <v>1</v>
      </c>
      <c r="R678" t="str">
        <f t="shared" si="21"/>
        <v>Normal</v>
      </c>
    </row>
    <row r="679" spans="1:18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>
        <f t="shared" si="20"/>
        <v>1</v>
      </c>
      <c r="R679" t="str">
        <f t="shared" si="21"/>
        <v>Normal</v>
      </c>
    </row>
    <row r="680" spans="1:18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>
        <f t="shared" si="20"/>
        <v>1</v>
      </c>
      <c r="R680" t="str">
        <f t="shared" si="21"/>
        <v>Normal</v>
      </c>
    </row>
    <row r="681" spans="1:18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f t="shared" si="20"/>
        <v>1</v>
      </c>
      <c r="R681" t="str">
        <f t="shared" si="21"/>
        <v>Normal</v>
      </c>
    </row>
    <row r="682" spans="1:18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>
        <f t="shared" si="20"/>
        <v>1</v>
      </c>
      <c r="R682" t="str">
        <f t="shared" si="21"/>
        <v>Normal</v>
      </c>
    </row>
    <row r="683" spans="1:18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f t="shared" si="20"/>
        <v>1</v>
      </c>
      <c r="R683" t="str">
        <f t="shared" si="21"/>
        <v>Normal</v>
      </c>
    </row>
    <row r="684" spans="1:18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f t="shared" si="20"/>
        <v>1</v>
      </c>
      <c r="R684" t="str">
        <f t="shared" si="21"/>
        <v>Normal</v>
      </c>
    </row>
    <row r="685" spans="1:18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f t="shared" si="20"/>
        <v>1</v>
      </c>
      <c r="R685" t="str">
        <f t="shared" si="21"/>
        <v>Normal</v>
      </c>
    </row>
    <row r="686" spans="1:18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f t="shared" si="20"/>
        <v>1</v>
      </c>
      <c r="R686" t="str">
        <f t="shared" si="21"/>
        <v>Normal</v>
      </c>
    </row>
    <row r="687" spans="1:18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f t="shared" si="20"/>
        <v>1</v>
      </c>
      <c r="R687" t="str">
        <f t="shared" si="21"/>
        <v>Normal</v>
      </c>
    </row>
    <row r="688" spans="1:18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f t="shared" si="20"/>
        <v>1</v>
      </c>
      <c r="R688" t="str">
        <f t="shared" si="21"/>
        <v>Normal</v>
      </c>
    </row>
    <row r="689" spans="1:18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f t="shared" si="20"/>
        <v>1</v>
      </c>
      <c r="R689" t="str">
        <f t="shared" si="21"/>
        <v>Normal</v>
      </c>
    </row>
    <row r="690" spans="1:18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1479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f t="shared" si="20"/>
        <v>1</v>
      </c>
      <c r="R690" t="str">
        <f t="shared" si="21"/>
        <v>Normal</v>
      </c>
    </row>
    <row r="691" spans="1:18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f t="shared" si="20"/>
        <v>1</v>
      </c>
      <c r="R691" t="str">
        <f t="shared" si="21"/>
        <v>Normal</v>
      </c>
    </row>
    <row r="692" spans="1:18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>
        <f t="shared" si="20"/>
        <v>1</v>
      </c>
      <c r="R692" t="str">
        <f t="shared" si="21"/>
        <v>Normal</v>
      </c>
    </row>
    <row r="693" spans="1:18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>
        <f t="shared" si="20"/>
        <v>1</v>
      </c>
      <c r="R693" t="str">
        <f t="shared" si="21"/>
        <v>Normal</v>
      </c>
    </row>
    <row r="694" spans="1:18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>
        <f t="shared" si="20"/>
        <v>1</v>
      </c>
      <c r="R694" t="str">
        <f t="shared" si="21"/>
        <v>Normal</v>
      </c>
    </row>
    <row r="695" spans="1:18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>
        <f t="shared" si="20"/>
        <v>1</v>
      </c>
      <c r="R695" t="str">
        <f t="shared" si="21"/>
        <v>Normal</v>
      </c>
    </row>
    <row r="696" spans="1:18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>
        <f t="shared" si="20"/>
        <v>1</v>
      </c>
      <c r="R696" t="str">
        <f t="shared" si="21"/>
        <v>Normal</v>
      </c>
    </row>
    <row r="697" spans="1:18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>
        <f t="shared" si="20"/>
        <v>1</v>
      </c>
      <c r="R697" t="str">
        <f t="shared" si="21"/>
        <v>Normal</v>
      </c>
    </row>
    <row r="698" spans="1:18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>
        <f t="shared" si="20"/>
        <v>1</v>
      </c>
      <c r="R698" t="str">
        <f t="shared" si="21"/>
        <v>Normal</v>
      </c>
    </row>
    <row r="699" spans="1:18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>
        <f t="shared" si="20"/>
        <v>1</v>
      </c>
      <c r="R699" t="str">
        <f t="shared" si="21"/>
        <v>Normal</v>
      </c>
    </row>
    <row r="700" spans="1:18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>
        <f t="shared" si="20"/>
        <v>1</v>
      </c>
      <c r="R700" t="str">
        <f t="shared" si="21"/>
        <v>Normal</v>
      </c>
    </row>
    <row r="701" spans="1:18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>
        <f t="shared" si="20"/>
        <v>1</v>
      </c>
      <c r="R701" t="str">
        <f t="shared" si="21"/>
        <v>Normal</v>
      </c>
    </row>
    <row r="702" spans="1:18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f t="shared" si="20"/>
        <v>1</v>
      </c>
      <c r="R702" t="str">
        <f t="shared" si="21"/>
        <v>Outlier</v>
      </c>
    </row>
    <row r="703" spans="1:18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>
        <f t="shared" si="20"/>
        <v>1</v>
      </c>
      <c r="R703" t="str">
        <f t="shared" si="21"/>
        <v>Normal</v>
      </c>
    </row>
    <row r="704" spans="1:18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>
        <f t="shared" si="20"/>
        <v>1</v>
      </c>
      <c r="R704" t="str">
        <f t="shared" si="21"/>
        <v>Normal</v>
      </c>
    </row>
    <row r="705" spans="1:18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>
        <f t="shared" si="20"/>
        <v>1</v>
      </c>
      <c r="R705" t="str">
        <f t="shared" si="21"/>
        <v>Normal</v>
      </c>
    </row>
    <row r="706" spans="1:18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>
        <f t="shared" ref="Q706:Q769" si="22">COUNTIF($A706:$A2113,A706)</f>
        <v>1</v>
      </c>
      <c r="R706" t="str">
        <f t="shared" si="21"/>
        <v>Normal</v>
      </c>
    </row>
    <row r="707" spans="1:18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>
        <f t="shared" si="22"/>
        <v>1</v>
      </c>
      <c r="R707" t="str">
        <f t="shared" ref="R707:R770" si="23">IF(L707&gt;$T713,"Outlier","Normal")</f>
        <v>Normal</v>
      </c>
    </row>
    <row r="708" spans="1:18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f t="shared" si="22"/>
        <v>1</v>
      </c>
      <c r="R708" t="str">
        <f t="shared" si="23"/>
        <v>Normal</v>
      </c>
    </row>
    <row r="709" spans="1:18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>
        <f t="shared" si="22"/>
        <v>1</v>
      </c>
      <c r="R709" t="str">
        <f t="shared" si="23"/>
        <v>Normal</v>
      </c>
    </row>
    <row r="710" spans="1:18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>
        <f t="shared" si="22"/>
        <v>1</v>
      </c>
      <c r="R710" t="str">
        <f t="shared" si="23"/>
        <v>Normal</v>
      </c>
    </row>
    <row r="711" spans="1:18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>
        <f t="shared" si="22"/>
        <v>1</v>
      </c>
      <c r="R711" t="str">
        <f t="shared" si="23"/>
        <v>Normal</v>
      </c>
    </row>
    <row r="712" spans="1:18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>
        <f t="shared" si="22"/>
        <v>1</v>
      </c>
      <c r="R712" t="str">
        <f t="shared" si="23"/>
        <v>Normal</v>
      </c>
    </row>
    <row r="713" spans="1:18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>
        <f t="shared" si="22"/>
        <v>1</v>
      </c>
      <c r="R713" t="str">
        <f t="shared" si="23"/>
        <v>Normal</v>
      </c>
    </row>
    <row r="714" spans="1:18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>
        <f t="shared" si="22"/>
        <v>1</v>
      </c>
      <c r="R714" t="str">
        <f t="shared" si="23"/>
        <v>Outlier</v>
      </c>
    </row>
    <row r="715" spans="1:18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f t="shared" si="22"/>
        <v>1</v>
      </c>
      <c r="R715" t="str">
        <f t="shared" si="23"/>
        <v>Outlier</v>
      </c>
    </row>
    <row r="716" spans="1:18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>
        <f t="shared" si="22"/>
        <v>1</v>
      </c>
      <c r="R716" t="str">
        <f t="shared" si="23"/>
        <v>Normal</v>
      </c>
    </row>
    <row r="717" spans="1:18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>
        <f t="shared" si="22"/>
        <v>1</v>
      </c>
      <c r="R717" t="str">
        <f t="shared" si="23"/>
        <v>Normal</v>
      </c>
    </row>
    <row r="718" spans="1:18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>
        <f t="shared" si="22"/>
        <v>1</v>
      </c>
      <c r="R718" t="str">
        <f t="shared" si="23"/>
        <v>Normal</v>
      </c>
    </row>
    <row r="719" spans="1:18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>
        <f t="shared" si="22"/>
        <v>1</v>
      </c>
      <c r="R719" t="str">
        <f t="shared" si="23"/>
        <v>Normal</v>
      </c>
    </row>
    <row r="720" spans="1:18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>
        <f t="shared" si="22"/>
        <v>1</v>
      </c>
      <c r="R720" t="str">
        <f t="shared" si="23"/>
        <v>Normal</v>
      </c>
    </row>
    <row r="721" spans="1:18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>
        <f t="shared" si="22"/>
        <v>1</v>
      </c>
      <c r="R721" t="str">
        <f t="shared" si="23"/>
        <v>Normal</v>
      </c>
    </row>
    <row r="722" spans="1:18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>
        <f t="shared" si="22"/>
        <v>1</v>
      </c>
      <c r="R722" t="str">
        <f t="shared" si="23"/>
        <v>Normal</v>
      </c>
    </row>
    <row r="723" spans="1:18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>
        <f t="shared" si="22"/>
        <v>1</v>
      </c>
      <c r="R723" t="str">
        <f t="shared" si="23"/>
        <v>Normal</v>
      </c>
    </row>
    <row r="724" spans="1:18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1479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>
        <f t="shared" si="22"/>
        <v>1</v>
      </c>
      <c r="R724" t="str">
        <f t="shared" si="23"/>
        <v>Normal</v>
      </c>
    </row>
    <row r="725" spans="1:18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>
        <f t="shared" si="22"/>
        <v>1</v>
      </c>
      <c r="R725" t="str">
        <f t="shared" si="23"/>
        <v>Normal</v>
      </c>
    </row>
    <row r="726" spans="1:18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>
        <f t="shared" si="22"/>
        <v>1</v>
      </c>
      <c r="R726" t="str">
        <f t="shared" si="23"/>
        <v>Normal</v>
      </c>
    </row>
    <row r="727" spans="1:18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>
        <f t="shared" si="22"/>
        <v>1</v>
      </c>
      <c r="R727" t="str">
        <f t="shared" si="23"/>
        <v>Normal</v>
      </c>
    </row>
    <row r="728" spans="1:18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>
        <f t="shared" si="22"/>
        <v>1</v>
      </c>
      <c r="R728" t="str">
        <f t="shared" si="23"/>
        <v>Normal</v>
      </c>
    </row>
    <row r="729" spans="1:18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f t="shared" si="22"/>
        <v>1</v>
      </c>
      <c r="R729" t="str">
        <f t="shared" si="23"/>
        <v>Outlier</v>
      </c>
    </row>
    <row r="730" spans="1:18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1479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>
        <f t="shared" si="22"/>
        <v>1</v>
      </c>
      <c r="R730" t="str">
        <f t="shared" si="23"/>
        <v>Normal</v>
      </c>
    </row>
    <row r="731" spans="1:18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>
        <f t="shared" si="22"/>
        <v>1</v>
      </c>
      <c r="R731" t="str">
        <f t="shared" si="23"/>
        <v>Normal</v>
      </c>
    </row>
    <row r="732" spans="1:18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>
        <f t="shared" si="22"/>
        <v>1</v>
      </c>
      <c r="R732" t="str">
        <f t="shared" si="23"/>
        <v>Normal</v>
      </c>
    </row>
    <row r="733" spans="1:18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>
        <f t="shared" si="22"/>
        <v>1</v>
      </c>
      <c r="R733" t="str">
        <f t="shared" si="23"/>
        <v>Outlier</v>
      </c>
    </row>
    <row r="734" spans="1:18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>
        <f t="shared" si="22"/>
        <v>1</v>
      </c>
      <c r="R734" t="str">
        <f t="shared" si="23"/>
        <v>Normal</v>
      </c>
    </row>
    <row r="735" spans="1:18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>
        <f t="shared" si="22"/>
        <v>1</v>
      </c>
      <c r="R735" t="str">
        <f t="shared" si="23"/>
        <v>Normal</v>
      </c>
    </row>
    <row r="736" spans="1:18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>
        <f t="shared" si="22"/>
        <v>1</v>
      </c>
      <c r="R736" t="str">
        <f t="shared" si="23"/>
        <v>Normal</v>
      </c>
    </row>
    <row r="737" spans="1:18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>
        <f t="shared" si="22"/>
        <v>1</v>
      </c>
      <c r="R737" t="str">
        <f t="shared" si="23"/>
        <v>Normal</v>
      </c>
    </row>
    <row r="738" spans="1:18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>
        <f t="shared" si="22"/>
        <v>1</v>
      </c>
      <c r="R738" t="str">
        <f t="shared" si="23"/>
        <v>Normal</v>
      </c>
    </row>
    <row r="739" spans="1:18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>
        <f t="shared" si="22"/>
        <v>1</v>
      </c>
      <c r="R739" t="str">
        <f t="shared" si="23"/>
        <v>Normal</v>
      </c>
    </row>
    <row r="740" spans="1:18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>
        <f t="shared" si="22"/>
        <v>1</v>
      </c>
      <c r="R740" t="str">
        <f t="shared" si="23"/>
        <v>Normal</v>
      </c>
    </row>
    <row r="741" spans="1:18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>
        <f t="shared" si="22"/>
        <v>1</v>
      </c>
      <c r="R741" t="str">
        <f t="shared" si="23"/>
        <v>Normal</v>
      </c>
    </row>
    <row r="742" spans="1:18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1479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>
        <f t="shared" si="22"/>
        <v>1</v>
      </c>
      <c r="R742" t="str">
        <f t="shared" si="23"/>
        <v>Normal</v>
      </c>
    </row>
    <row r="743" spans="1:18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>
        <f t="shared" si="22"/>
        <v>1</v>
      </c>
      <c r="R743" t="str">
        <f t="shared" si="23"/>
        <v>Normal</v>
      </c>
    </row>
    <row r="744" spans="1:18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>
        <f t="shared" si="22"/>
        <v>1</v>
      </c>
      <c r="R744" t="str">
        <f t="shared" si="23"/>
        <v>Normal</v>
      </c>
    </row>
    <row r="745" spans="1:18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>
        <f t="shared" si="22"/>
        <v>1</v>
      </c>
      <c r="R745" t="str">
        <f t="shared" si="23"/>
        <v>Normal</v>
      </c>
    </row>
    <row r="746" spans="1:18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>
        <f t="shared" si="22"/>
        <v>1</v>
      </c>
      <c r="R746" t="str">
        <f t="shared" si="23"/>
        <v>Normal</v>
      </c>
    </row>
    <row r="747" spans="1:18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>
        <f t="shared" si="22"/>
        <v>1</v>
      </c>
      <c r="R747" t="str">
        <f t="shared" si="23"/>
        <v>Normal</v>
      </c>
    </row>
    <row r="748" spans="1:18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>
        <f t="shared" si="22"/>
        <v>1</v>
      </c>
      <c r="R748" t="str">
        <f t="shared" si="23"/>
        <v>Normal</v>
      </c>
    </row>
    <row r="749" spans="1:18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>
        <f t="shared" si="22"/>
        <v>1</v>
      </c>
      <c r="R749" t="str">
        <f t="shared" si="23"/>
        <v>Normal</v>
      </c>
    </row>
    <row r="750" spans="1:18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>
        <f t="shared" si="22"/>
        <v>1</v>
      </c>
      <c r="R750" t="str">
        <f t="shared" si="23"/>
        <v>Normal</v>
      </c>
    </row>
    <row r="751" spans="1:18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>
        <f t="shared" si="22"/>
        <v>1</v>
      </c>
      <c r="R751" t="str">
        <f t="shared" si="23"/>
        <v>Normal</v>
      </c>
    </row>
    <row r="752" spans="1:18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>
        <f t="shared" si="22"/>
        <v>1</v>
      </c>
      <c r="R752" t="str">
        <f t="shared" si="23"/>
        <v>Normal</v>
      </c>
    </row>
    <row r="753" spans="1:18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>
        <f t="shared" si="22"/>
        <v>1</v>
      </c>
      <c r="R753" t="str">
        <f t="shared" si="23"/>
        <v>Normal</v>
      </c>
    </row>
    <row r="754" spans="1:18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>
        <f t="shared" si="22"/>
        <v>1</v>
      </c>
      <c r="R754" t="str">
        <f t="shared" si="23"/>
        <v>Normal</v>
      </c>
    </row>
    <row r="755" spans="1:18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>
        <f t="shared" si="22"/>
        <v>1</v>
      </c>
      <c r="R755" t="str">
        <f t="shared" si="23"/>
        <v>Normal</v>
      </c>
    </row>
    <row r="756" spans="1:18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>
        <f t="shared" si="22"/>
        <v>1</v>
      </c>
      <c r="R756" t="str">
        <f t="shared" si="23"/>
        <v>Normal</v>
      </c>
    </row>
    <row r="757" spans="1:18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>
        <f t="shared" si="22"/>
        <v>1</v>
      </c>
      <c r="R757" t="str">
        <f t="shared" si="23"/>
        <v>Normal</v>
      </c>
    </row>
    <row r="758" spans="1:18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>
        <f t="shared" si="22"/>
        <v>1</v>
      </c>
      <c r="R758" t="str">
        <f t="shared" si="23"/>
        <v>Normal</v>
      </c>
    </row>
    <row r="759" spans="1:18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>
        <f t="shared" si="22"/>
        <v>1</v>
      </c>
      <c r="R759" t="str">
        <f t="shared" si="23"/>
        <v>Outlier</v>
      </c>
    </row>
    <row r="760" spans="1:18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>
        <f t="shared" si="22"/>
        <v>1</v>
      </c>
      <c r="R760" t="str">
        <f t="shared" si="23"/>
        <v>Normal</v>
      </c>
    </row>
    <row r="761" spans="1:18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>
        <f t="shared" si="22"/>
        <v>1</v>
      </c>
      <c r="R761" t="str">
        <f t="shared" si="23"/>
        <v>Normal</v>
      </c>
    </row>
    <row r="762" spans="1:18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>
        <f t="shared" si="22"/>
        <v>1</v>
      </c>
      <c r="R762" t="str">
        <f t="shared" si="23"/>
        <v>Normal</v>
      </c>
    </row>
    <row r="763" spans="1:18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f t="shared" si="22"/>
        <v>1</v>
      </c>
      <c r="R763" t="str">
        <f t="shared" si="23"/>
        <v>Normal</v>
      </c>
    </row>
    <row r="764" spans="1:18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>
        <f t="shared" si="22"/>
        <v>1</v>
      </c>
      <c r="R764" t="str">
        <f t="shared" si="23"/>
        <v>Normal</v>
      </c>
    </row>
    <row r="765" spans="1:18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>
        <f t="shared" si="22"/>
        <v>1</v>
      </c>
      <c r="R765" t="str">
        <f t="shared" si="23"/>
        <v>Normal</v>
      </c>
    </row>
    <row r="766" spans="1:18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>
        <f t="shared" si="22"/>
        <v>1</v>
      </c>
      <c r="R766" t="str">
        <f t="shared" si="23"/>
        <v>Normal</v>
      </c>
    </row>
    <row r="767" spans="1:18">
      <c r="A767" t="s">
        <v>798</v>
      </c>
      <c r="B767" s="2">
        <v>45671</v>
      </c>
      <c r="C767" t="s">
        <v>723</v>
      </c>
      <c r="D767" t="s">
        <v>23</v>
      </c>
      <c r="E767" t="s">
        <v>1479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>
        <f t="shared" si="22"/>
        <v>1</v>
      </c>
      <c r="R767" t="str">
        <f t="shared" si="23"/>
        <v>Normal</v>
      </c>
    </row>
    <row r="768" spans="1:18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>
        <f t="shared" si="22"/>
        <v>1</v>
      </c>
      <c r="R768" t="str">
        <f t="shared" si="23"/>
        <v>Normal</v>
      </c>
    </row>
    <row r="769" spans="1:18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>
        <f t="shared" si="22"/>
        <v>1</v>
      </c>
      <c r="R769" t="str">
        <f t="shared" si="23"/>
        <v>Normal</v>
      </c>
    </row>
    <row r="770" spans="1:18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>
        <f t="shared" ref="Q770:Q833" si="24">COUNTIF($A770:$A2177,A770)</f>
        <v>1</v>
      </c>
      <c r="R770" t="str">
        <f t="shared" si="23"/>
        <v>Normal</v>
      </c>
    </row>
    <row r="771" spans="1:18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>
        <f t="shared" si="24"/>
        <v>1</v>
      </c>
      <c r="R771" t="str">
        <f t="shared" ref="R771:R834" si="25">IF(L771&gt;$T777,"Outlier","Normal")</f>
        <v>Normal</v>
      </c>
    </row>
    <row r="772" spans="1:18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>
        <f t="shared" si="24"/>
        <v>1</v>
      </c>
      <c r="R772" t="str">
        <f t="shared" si="25"/>
        <v>Normal</v>
      </c>
    </row>
    <row r="773" spans="1:18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>
        <f t="shared" si="24"/>
        <v>1</v>
      </c>
      <c r="R773" t="str">
        <f t="shared" si="25"/>
        <v>Normal</v>
      </c>
    </row>
    <row r="774" spans="1:18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>
        <f t="shared" si="24"/>
        <v>1</v>
      </c>
      <c r="R774" t="str">
        <f t="shared" si="25"/>
        <v>Normal</v>
      </c>
    </row>
    <row r="775" spans="1:18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>
        <f t="shared" si="24"/>
        <v>1</v>
      </c>
      <c r="R775" t="str">
        <f t="shared" si="25"/>
        <v>Normal</v>
      </c>
    </row>
    <row r="776" spans="1:18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>
        <f t="shared" si="24"/>
        <v>1</v>
      </c>
      <c r="R776" t="str">
        <f t="shared" si="25"/>
        <v>Normal</v>
      </c>
    </row>
    <row r="777" spans="1:18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>
        <f t="shared" si="24"/>
        <v>1</v>
      </c>
      <c r="R777" t="str">
        <f t="shared" si="25"/>
        <v>Normal</v>
      </c>
    </row>
    <row r="778" spans="1:18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>
        <f t="shared" si="24"/>
        <v>1</v>
      </c>
      <c r="R778" t="str">
        <f t="shared" si="25"/>
        <v>Normal</v>
      </c>
    </row>
    <row r="779" spans="1:18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>
        <f t="shared" si="24"/>
        <v>1</v>
      </c>
      <c r="R779" t="str">
        <f t="shared" si="25"/>
        <v>Normal</v>
      </c>
    </row>
    <row r="780" spans="1:18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>
        <f t="shared" si="24"/>
        <v>1</v>
      </c>
      <c r="R780" t="str">
        <f t="shared" si="25"/>
        <v>Normal</v>
      </c>
    </row>
    <row r="781" spans="1:18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>
        <f t="shared" si="24"/>
        <v>1</v>
      </c>
      <c r="R781" t="str">
        <f t="shared" si="25"/>
        <v>Normal</v>
      </c>
    </row>
    <row r="782" spans="1:18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>
        <f t="shared" si="24"/>
        <v>1</v>
      </c>
      <c r="R782" t="str">
        <f t="shared" si="25"/>
        <v>Normal</v>
      </c>
    </row>
    <row r="783" spans="1:18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>
        <f t="shared" si="24"/>
        <v>1</v>
      </c>
      <c r="R783" t="str">
        <f t="shared" si="25"/>
        <v>Normal</v>
      </c>
    </row>
    <row r="784" spans="1:18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>
        <f t="shared" si="24"/>
        <v>1</v>
      </c>
      <c r="R784" t="str">
        <f t="shared" si="25"/>
        <v>Normal</v>
      </c>
    </row>
    <row r="785" spans="1:18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>
        <f t="shared" si="24"/>
        <v>1</v>
      </c>
      <c r="R785" t="str">
        <f t="shared" si="25"/>
        <v>Normal</v>
      </c>
    </row>
    <row r="786" spans="1:18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>
        <f t="shared" si="24"/>
        <v>1</v>
      </c>
      <c r="R786" t="str">
        <f t="shared" si="25"/>
        <v>Normal</v>
      </c>
    </row>
    <row r="787" spans="1:18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>
        <f t="shared" si="24"/>
        <v>1</v>
      </c>
      <c r="R787" t="str">
        <f t="shared" si="25"/>
        <v>Normal</v>
      </c>
    </row>
    <row r="788" spans="1:18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>
        <f t="shared" si="24"/>
        <v>1</v>
      </c>
      <c r="R788" t="str">
        <f t="shared" si="25"/>
        <v>Normal</v>
      </c>
    </row>
    <row r="789" spans="1:18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>
        <f t="shared" si="24"/>
        <v>1</v>
      </c>
      <c r="R789" t="str">
        <f t="shared" si="25"/>
        <v>Normal</v>
      </c>
    </row>
    <row r="790" spans="1:18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>
        <f t="shared" si="24"/>
        <v>1</v>
      </c>
      <c r="R790" t="str">
        <f t="shared" si="25"/>
        <v>Normal</v>
      </c>
    </row>
    <row r="791" spans="1:18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>
        <f t="shared" si="24"/>
        <v>1</v>
      </c>
      <c r="R791" t="str">
        <f t="shared" si="25"/>
        <v>Normal</v>
      </c>
    </row>
    <row r="792" spans="1:18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>
        <f t="shared" si="24"/>
        <v>1</v>
      </c>
      <c r="R792" t="str">
        <f t="shared" si="25"/>
        <v>Normal</v>
      </c>
    </row>
    <row r="793" spans="1:18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>
        <f t="shared" si="24"/>
        <v>1</v>
      </c>
      <c r="R793" t="str">
        <f t="shared" si="25"/>
        <v>Normal</v>
      </c>
    </row>
    <row r="794" spans="1:18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>
        <f t="shared" si="24"/>
        <v>1</v>
      </c>
      <c r="R794" t="str">
        <f t="shared" si="25"/>
        <v>Normal</v>
      </c>
    </row>
    <row r="795" spans="1:18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>
        <f t="shared" si="24"/>
        <v>1</v>
      </c>
      <c r="R795" t="str">
        <f t="shared" si="25"/>
        <v>Normal</v>
      </c>
    </row>
    <row r="796" spans="1:18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>
        <f t="shared" si="24"/>
        <v>1</v>
      </c>
      <c r="R796" t="str">
        <f t="shared" si="25"/>
        <v>Normal</v>
      </c>
    </row>
    <row r="797" spans="1:18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>
        <f t="shared" si="24"/>
        <v>1</v>
      </c>
      <c r="R797" t="str">
        <f t="shared" si="25"/>
        <v>Normal</v>
      </c>
    </row>
    <row r="798" spans="1:18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>
        <f t="shared" si="24"/>
        <v>1</v>
      </c>
      <c r="R798" t="str">
        <f t="shared" si="25"/>
        <v>Normal</v>
      </c>
    </row>
    <row r="799" spans="1:18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>
        <f t="shared" si="24"/>
        <v>1</v>
      </c>
      <c r="R799" t="str">
        <f t="shared" si="25"/>
        <v>Normal</v>
      </c>
    </row>
    <row r="800" spans="1:18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>
        <f t="shared" si="24"/>
        <v>1</v>
      </c>
      <c r="R800" t="str">
        <f t="shared" si="25"/>
        <v>Normal</v>
      </c>
    </row>
    <row r="801" spans="1:18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>
        <f t="shared" si="24"/>
        <v>1</v>
      </c>
      <c r="R801" t="str">
        <f t="shared" si="25"/>
        <v>Normal</v>
      </c>
    </row>
    <row r="802" spans="1:18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>
        <f t="shared" si="24"/>
        <v>1</v>
      </c>
      <c r="R802" t="str">
        <f t="shared" si="25"/>
        <v>Normal</v>
      </c>
    </row>
    <row r="803" spans="1:18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>
        <f t="shared" si="24"/>
        <v>1</v>
      </c>
      <c r="R803" t="str">
        <f t="shared" si="25"/>
        <v>Normal</v>
      </c>
    </row>
    <row r="804" spans="1:18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>
        <f t="shared" si="24"/>
        <v>1</v>
      </c>
      <c r="R804" t="str">
        <f t="shared" si="25"/>
        <v>Normal</v>
      </c>
    </row>
    <row r="805" spans="1:18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>
        <f t="shared" si="24"/>
        <v>1</v>
      </c>
      <c r="R805" t="str">
        <f t="shared" si="25"/>
        <v>Normal</v>
      </c>
    </row>
    <row r="806" spans="1:18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f t="shared" si="24"/>
        <v>1</v>
      </c>
      <c r="R806" t="str">
        <f t="shared" si="25"/>
        <v>Outlier</v>
      </c>
    </row>
    <row r="807" spans="1:18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>
        <f t="shared" si="24"/>
        <v>1</v>
      </c>
      <c r="R807" t="str">
        <f t="shared" si="25"/>
        <v>Normal</v>
      </c>
    </row>
    <row r="808" spans="1:18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>
        <f t="shared" si="24"/>
        <v>1</v>
      </c>
      <c r="R808" t="str">
        <f t="shared" si="25"/>
        <v>Normal</v>
      </c>
    </row>
    <row r="809" spans="1:18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>
        <f t="shared" si="24"/>
        <v>1</v>
      </c>
      <c r="R809" t="str">
        <f t="shared" si="25"/>
        <v>Normal</v>
      </c>
    </row>
    <row r="810" spans="1:18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>
        <f t="shared" si="24"/>
        <v>1</v>
      </c>
      <c r="R810" t="str">
        <f t="shared" si="25"/>
        <v>Normal</v>
      </c>
    </row>
    <row r="811" spans="1:18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>
        <f t="shared" si="24"/>
        <v>1</v>
      </c>
      <c r="R811" t="str">
        <f t="shared" si="25"/>
        <v>Normal</v>
      </c>
    </row>
    <row r="812" spans="1:18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>
        <f t="shared" si="24"/>
        <v>1</v>
      </c>
      <c r="R812" t="str">
        <f t="shared" si="25"/>
        <v>Normal</v>
      </c>
    </row>
    <row r="813" spans="1:18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>
        <f t="shared" si="24"/>
        <v>1</v>
      </c>
      <c r="R813" t="str">
        <f t="shared" si="25"/>
        <v>Normal</v>
      </c>
    </row>
    <row r="814" spans="1:18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>
        <f t="shared" si="24"/>
        <v>1</v>
      </c>
      <c r="R814" t="str">
        <f t="shared" si="25"/>
        <v>Normal</v>
      </c>
    </row>
    <row r="815" spans="1:18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f t="shared" si="24"/>
        <v>1</v>
      </c>
      <c r="R815" t="str">
        <f t="shared" si="25"/>
        <v>Outlier</v>
      </c>
    </row>
    <row r="816" spans="1:18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>
        <f t="shared" si="24"/>
        <v>1</v>
      </c>
      <c r="R816" t="str">
        <f t="shared" si="25"/>
        <v>Normal</v>
      </c>
    </row>
    <row r="817" spans="1:18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>
        <f t="shared" si="24"/>
        <v>1</v>
      </c>
      <c r="R817" t="str">
        <f t="shared" si="25"/>
        <v>Normal</v>
      </c>
    </row>
    <row r="818" spans="1:18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>
        <f t="shared" si="24"/>
        <v>1</v>
      </c>
      <c r="R818" t="str">
        <f t="shared" si="25"/>
        <v>Normal</v>
      </c>
    </row>
    <row r="819" spans="1:18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>
        <f t="shared" si="24"/>
        <v>1</v>
      </c>
      <c r="R819" t="str">
        <f t="shared" si="25"/>
        <v>Normal</v>
      </c>
    </row>
    <row r="820" spans="1:18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f t="shared" si="24"/>
        <v>1</v>
      </c>
      <c r="R820" t="str">
        <f t="shared" si="25"/>
        <v>Outlier</v>
      </c>
    </row>
    <row r="821" spans="1:18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>
        <f t="shared" si="24"/>
        <v>1</v>
      </c>
      <c r="R821" t="str">
        <f t="shared" si="25"/>
        <v>Normal</v>
      </c>
    </row>
    <row r="822" spans="1:18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>
        <f t="shared" si="24"/>
        <v>1</v>
      </c>
      <c r="R822" t="str">
        <f t="shared" si="25"/>
        <v>Normal</v>
      </c>
    </row>
    <row r="823" spans="1:18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>
        <f t="shared" si="24"/>
        <v>1</v>
      </c>
      <c r="R823" t="str">
        <f t="shared" si="25"/>
        <v>Normal</v>
      </c>
    </row>
    <row r="824" spans="1:18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>
        <f t="shared" si="24"/>
        <v>1</v>
      </c>
      <c r="R824" t="str">
        <f t="shared" si="25"/>
        <v>Normal</v>
      </c>
    </row>
    <row r="825" spans="1:18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>
        <f t="shared" si="24"/>
        <v>1</v>
      </c>
      <c r="R825" t="str">
        <f t="shared" si="25"/>
        <v>Normal</v>
      </c>
    </row>
    <row r="826" spans="1:18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f t="shared" si="24"/>
        <v>1</v>
      </c>
      <c r="R826" t="str">
        <f t="shared" si="25"/>
        <v>Outlier</v>
      </c>
    </row>
    <row r="827" spans="1:18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>
        <f t="shared" si="24"/>
        <v>1</v>
      </c>
      <c r="R827" t="str">
        <f t="shared" si="25"/>
        <v>Normal</v>
      </c>
    </row>
    <row r="828" spans="1:18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>
        <f t="shared" si="24"/>
        <v>1</v>
      </c>
      <c r="R828" t="str">
        <f t="shared" si="25"/>
        <v>Normal</v>
      </c>
    </row>
    <row r="829" spans="1:18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>
        <f t="shared" si="24"/>
        <v>1</v>
      </c>
      <c r="R829" t="str">
        <f t="shared" si="25"/>
        <v>Normal</v>
      </c>
    </row>
    <row r="830" spans="1:18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>
        <f t="shared" si="24"/>
        <v>1</v>
      </c>
      <c r="R830" t="str">
        <f t="shared" si="25"/>
        <v>Normal</v>
      </c>
    </row>
    <row r="831" spans="1:18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>
        <f t="shared" si="24"/>
        <v>1</v>
      </c>
      <c r="R831" t="str">
        <f t="shared" si="25"/>
        <v>Outlier</v>
      </c>
    </row>
    <row r="832" spans="1:18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>
        <f t="shared" si="24"/>
        <v>1</v>
      </c>
      <c r="R832" t="str">
        <f t="shared" si="25"/>
        <v>Normal</v>
      </c>
    </row>
    <row r="833" spans="1:18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>
        <f t="shared" si="24"/>
        <v>1</v>
      </c>
      <c r="R833" t="str">
        <f t="shared" si="25"/>
        <v>Normal</v>
      </c>
    </row>
    <row r="834" spans="1:18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f t="shared" ref="Q834:Q897" si="26">COUNTIF($A834:$A2241,A834)</f>
        <v>1</v>
      </c>
      <c r="R834" t="str">
        <f t="shared" si="25"/>
        <v>Outlier</v>
      </c>
    </row>
    <row r="835" spans="1:18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>
        <f t="shared" si="26"/>
        <v>1</v>
      </c>
      <c r="R835" t="str">
        <f t="shared" ref="R835:R898" si="27">IF(L835&gt;$T841,"Outlier","Normal")</f>
        <v>Normal</v>
      </c>
    </row>
    <row r="836" spans="1:18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>
        <f t="shared" si="26"/>
        <v>1</v>
      </c>
      <c r="R836" t="str">
        <f t="shared" si="27"/>
        <v>Normal</v>
      </c>
    </row>
    <row r="837" spans="1:18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f t="shared" si="26"/>
        <v>1</v>
      </c>
      <c r="R837" t="str">
        <f t="shared" si="27"/>
        <v>Outlier</v>
      </c>
    </row>
    <row r="838" spans="1:18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f t="shared" si="26"/>
        <v>1</v>
      </c>
      <c r="R838" t="str">
        <f t="shared" si="27"/>
        <v>Outlier</v>
      </c>
    </row>
    <row r="839" spans="1:18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>
        <f t="shared" si="26"/>
        <v>1</v>
      </c>
      <c r="R839" t="str">
        <f t="shared" si="27"/>
        <v>Normal</v>
      </c>
    </row>
    <row r="840" spans="1:18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>
        <f t="shared" si="26"/>
        <v>1</v>
      </c>
      <c r="R840" t="str">
        <f t="shared" si="27"/>
        <v>Normal</v>
      </c>
    </row>
    <row r="841" spans="1:18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>
        <f t="shared" si="26"/>
        <v>1</v>
      </c>
      <c r="R841" t="str">
        <f t="shared" si="27"/>
        <v>Normal</v>
      </c>
    </row>
    <row r="842" spans="1:18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>
        <f t="shared" si="26"/>
        <v>1</v>
      </c>
      <c r="R842" t="str">
        <f t="shared" si="27"/>
        <v>Normal</v>
      </c>
    </row>
    <row r="843" spans="1:18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>
        <f t="shared" si="26"/>
        <v>1</v>
      </c>
      <c r="R843" t="str">
        <f t="shared" si="27"/>
        <v>Normal</v>
      </c>
    </row>
    <row r="844" spans="1:18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>
        <f t="shared" si="26"/>
        <v>1</v>
      </c>
      <c r="R844" t="str">
        <f t="shared" si="27"/>
        <v>Normal</v>
      </c>
    </row>
    <row r="845" spans="1:18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>
        <f t="shared" si="26"/>
        <v>1</v>
      </c>
      <c r="R845" t="str">
        <f t="shared" si="27"/>
        <v>Normal</v>
      </c>
    </row>
    <row r="846" spans="1:18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>
        <f t="shared" si="26"/>
        <v>1</v>
      </c>
      <c r="R846" t="str">
        <f t="shared" si="27"/>
        <v>Normal</v>
      </c>
    </row>
    <row r="847" spans="1:18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>
        <f t="shared" si="26"/>
        <v>1</v>
      </c>
      <c r="R847" t="str">
        <f t="shared" si="27"/>
        <v>Normal</v>
      </c>
    </row>
    <row r="848" spans="1:18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>
        <f t="shared" si="26"/>
        <v>1</v>
      </c>
      <c r="R848" t="str">
        <f t="shared" si="27"/>
        <v>Normal</v>
      </c>
    </row>
    <row r="849" spans="1:18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>
        <f t="shared" si="26"/>
        <v>1</v>
      </c>
      <c r="R849" t="str">
        <f t="shared" si="27"/>
        <v>Normal</v>
      </c>
    </row>
    <row r="850" spans="1:18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>
        <f t="shared" si="26"/>
        <v>1</v>
      </c>
      <c r="R850" t="str">
        <f t="shared" si="27"/>
        <v>Normal</v>
      </c>
    </row>
    <row r="851" spans="1:18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>
        <f t="shared" si="26"/>
        <v>1</v>
      </c>
      <c r="R851" t="str">
        <f t="shared" si="27"/>
        <v>Normal</v>
      </c>
    </row>
    <row r="852" spans="1:18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>
        <f t="shared" si="26"/>
        <v>1</v>
      </c>
      <c r="R852" t="str">
        <f t="shared" si="27"/>
        <v>Normal</v>
      </c>
    </row>
    <row r="853" spans="1:18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>
        <f t="shared" si="26"/>
        <v>1</v>
      </c>
      <c r="R853" t="str">
        <f t="shared" si="27"/>
        <v>Normal</v>
      </c>
    </row>
    <row r="854" spans="1:18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>
        <f t="shared" si="26"/>
        <v>1</v>
      </c>
      <c r="R854" t="str">
        <f t="shared" si="27"/>
        <v>Normal</v>
      </c>
    </row>
    <row r="855" spans="1:18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>
        <f t="shared" si="26"/>
        <v>1</v>
      </c>
      <c r="R855" t="str">
        <f t="shared" si="27"/>
        <v>Normal</v>
      </c>
    </row>
    <row r="856" spans="1:18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>
        <f t="shared" si="26"/>
        <v>1</v>
      </c>
      <c r="R856" t="str">
        <f t="shared" si="27"/>
        <v>Outlier</v>
      </c>
    </row>
    <row r="857" spans="1:18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>
        <f t="shared" si="26"/>
        <v>1</v>
      </c>
      <c r="R857" t="str">
        <f t="shared" si="27"/>
        <v>Normal</v>
      </c>
    </row>
    <row r="858" spans="1:18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>
        <f t="shared" si="26"/>
        <v>1</v>
      </c>
      <c r="R858" t="str">
        <f t="shared" si="27"/>
        <v>Normal</v>
      </c>
    </row>
    <row r="859" spans="1:18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>
        <f t="shared" si="26"/>
        <v>1</v>
      </c>
      <c r="R859" t="str">
        <f t="shared" si="27"/>
        <v>Normal</v>
      </c>
    </row>
    <row r="860" spans="1:18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f t="shared" si="26"/>
        <v>1</v>
      </c>
      <c r="R860" t="str">
        <f t="shared" si="27"/>
        <v>Outlier</v>
      </c>
    </row>
    <row r="861" spans="1:18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>
        <f t="shared" si="26"/>
        <v>1</v>
      </c>
      <c r="R861" t="str">
        <f t="shared" si="27"/>
        <v>Normal</v>
      </c>
    </row>
    <row r="862" spans="1:18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>
        <f t="shared" si="26"/>
        <v>1</v>
      </c>
      <c r="R862" t="str">
        <f t="shared" si="27"/>
        <v>Normal</v>
      </c>
    </row>
    <row r="863" spans="1:18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>
        <f t="shared" si="26"/>
        <v>1</v>
      </c>
      <c r="R863" t="str">
        <f t="shared" si="27"/>
        <v>Normal</v>
      </c>
    </row>
    <row r="864" spans="1:18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>
        <f t="shared" si="26"/>
        <v>1</v>
      </c>
      <c r="R864" t="str">
        <f t="shared" si="27"/>
        <v>Normal</v>
      </c>
    </row>
    <row r="865" spans="1:18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>
        <f t="shared" si="26"/>
        <v>1</v>
      </c>
      <c r="R865" t="str">
        <f t="shared" si="27"/>
        <v>Normal</v>
      </c>
    </row>
    <row r="866" spans="1:18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>
        <f t="shared" si="26"/>
        <v>1</v>
      </c>
      <c r="R866" t="str">
        <f t="shared" si="27"/>
        <v>Normal</v>
      </c>
    </row>
    <row r="867" spans="1:18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>
        <f t="shared" si="26"/>
        <v>1</v>
      </c>
      <c r="R867" t="str">
        <f t="shared" si="27"/>
        <v>Normal</v>
      </c>
    </row>
    <row r="868" spans="1:18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>
        <f t="shared" si="26"/>
        <v>1</v>
      </c>
      <c r="R868" t="str">
        <f t="shared" si="27"/>
        <v>Normal</v>
      </c>
    </row>
    <row r="869" spans="1:18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>
        <f t="shared" si="26"/>
        <v>1</v>
      </c>
      <c r="R869" t="str">
        <f t="shared" si="27"/>
        <v>Normal</v>
      </c>
    </row>
    <row r="870" spans="1:18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>
        <f t="shared" si="26"/>
        <v>1</v>
      </c>
      <c r="R870" t="str">
        <f t="shared" si="27"/>
        <v>Normal</v>
      </c>
    </row>
    <row r="871" spans="1:18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>
        <f t="shared" si="26"/>
        <v>1</v>
      </c>
      <c r="R871" t="str">
        <f t="shared" si="27"/>
        <v>Normal</v>
      </c>
    </row>
    <row r="872" spans="1:18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>
        <f t="shared" si="26"/>
        <v>1</v>
      </c>
      <c r="R872" t="str">
        <f t="shared" si="27"/>
        <v>Normal</v>
      </c>
    </row>
    <row r="873" spans="1:18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>
        <f t="shared" si="26"/>
        <v>1</v>
      </c>
      <c r="R873" t="str">
        <f t="shared" si="27"/>
        <v>Normal</v>
      </c>
    </row>
    <row r="874" spans="1:18">
      <c r="A874" t="s">
        <v>905</v>
      </c>
      <c r="B874" s="2">
        <v>45769</v>
      </c>
      <c r="C874" t="s">
        <v>723</v>
      </c>
      <c r="D874" t="s">
        <v>23</v>
      </c>
      <c r="E874" t="s">
        <v>1479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>
        <f t="shared" si="26"/>
        <v>1</v>
      </c>
      <c r="R874" t="str">
        <f t="shared" si="27"/>
        <v>Normal</v>
      </c>
    </row>
    <row r="875" spans="1:18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>
        <f t="shared" si="26"/>
        <v>1</v>
      </c>
      <c r="R875" t="str">
        <f t="shared" si="27"/>
        <v>Normal</v>
      </c>
    </row>
    <row r="876" spans="1:18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>
        <f t="shared" si="26"/>
        <v>1</v>
      </c>
      <c r="R876" t="str">
        <f t="shared" si="27"/>
        <v>Normal</v>
      </c>
    </row>
    <row r="877" spans="1:18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>
        <f t="shared" si="26"/>
        <v>1</v>
      </c>
      <c r="R877" t="str">
        <f t="shared" si="27"/>
        <v>Normal</v>
      </c>
    </row>
    <row r="878" spans="1:18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>
        <f t="shared" si="26"/>
        <v>1</v>
      </c>
      <c r="R878" t="str">
        <f t="shared" si="27"/>
        <v>Normal</v>
      </c>
    </row>
    <row r="879" spans="1:18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>
        <f t="shared" si="26"/>
        <v>1</v>
      </c>
      <c r="R879" t="str">
        <f t="shared" si="27"/>
        <v>Normal</v>
      </c>
    </row>
    <row r="880" spans="1:18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>
        <f t="shared" si="26"/>
        <v>1</v>
      </c>
      <c r="R880" t="str">
        <f t="shared" si="27"/>
        <v>Normal</v>
      </c>
    </row>
    <row r="881" spans="1:18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>
        <f t="shared" si="26"/>
        <v>1</v>
      </c>
      <c r="R881" t="str">
        <f t="shared" si="27"/>
        <v>Normal</v>
      </c>
    </row>
    <row r="882" spans="1:18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>
        <f t="shared" si="26"/>
        <v>1</v>
      </c>
      <c r="R882" t="str">
        <f t="shared" si="27"/>
        <v>Normal</v>
      </c>
    </row>
    <row r="883" spans="1:18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>
        <f t="shared" si="26"/>
        <v>1</v>
      </c>
      <c r="R883" t="str">
        <f t="shared" si="27"/>
        <v>Normal</v>
      </c>
    </row>
    <row r="884" spans="1:18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>
        <f t="shared" si="26"/>
        <v>1</v>
      </c>
      <c r="R884" t="str">
        <f t="shared" si="27"/>
        <v>Normal</v>
      </c>
    </row>
    <row r="885" spans="1:18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>
        <f t="shared" si="26"/>
        <v>1</v>
      </c>
      <c r="R885" t="str">
        <f t="shared" si="27"/>
        <v>Normal</v>
      </c>
    </row>
    <row r="886" spans="1:18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>
        <f t="shared" si="26"/>
        <v>1</v>
      </c>
      <c r="R886" t="str">
        <f t="shared" si="27"/>
        <v>Normal</v>
      </c>
    </row>
    <row r="887" spans="1:18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>
        <f t="shared" si="26"/>
        <v>1</v>
      </c>
      <c r="R887" t="str">
        <f t="shared" si="27"/>
        <v>Normal</v>
      </c>
    </row>
    <row r="888" spans="1:18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>
        <f t="shared" si="26"/>
        <v>1</v>
      </c>
      <c r="R888" t="str">
        <f t="shared" si="27"/>
        <v>Normal</v>
      </c>
    </row>
    <row r="889" spans="1:18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>
        <f t="shared" si="26"/>
        <v>1</v>
      </c>
      <c r="R889" t="str">
        <f t="shared" si="27"/>
        <v>Normal</v>
      </c>
    </row>
    <row r="890" spans="1:18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>
        <f t="shared" si="26"/>
        <v>1</v>
      </c>
      <c r="R890" t="str">
        <f t="shared" si="27"/>
        <v>Outlier</v>
      </c>
    </row>
    <row r="891" spans="1:18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>
        <f t="shared" si="26"/>
        <v>1</v>
      </c>
      <c r="R891" t="str">
        <f t="shared" si="27"/>
        <v>Normal</v>
      </c>
    </row>
    <row r="892" spans="1:18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>
        <f t="shared" si="26"/>
        <v>1</v>
      </c>
      <c r="R892" t="str">
        <f t="shared" si="27"/>
        <v>Normal</v>
      </c>
    </row>
    <row r="893" spans="1:18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>
        <f t="shared" si="26"/>
        <v>1</v>
      </c>
      <c r="R893" t="str">
        <f t="shared" si="27"/>
        <v>Normal</v>
      </c>
    </row>
    <row r="894" spans="1:18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>
        <f t="shared" si="26"/>
        <v>1</v>
      </c>
      <c r="R894" t="str">
        <f t="shared" si="27"/>
        <v>Normal</v>
      </c>
    </row>
    <row r="895" spans="1:18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>
        <f t="shared" si="26"/>
        <v>1</v>
      </c>
      <c r="R895" t="str">
        <f t="shared" si="27"/>
        <v>Normal</v>
      </c>
    </row>
    <row r="896" spans="1:18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>
        <f t="shared" si="26"/>
        <v>1</v>
      </c>
      <c r="R896" t="str">
        <f t="shared" si="27"/>
        <v>Normal</v>
      </c>
    </row>
    <row r="897" spans="1:18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>
        <f t="shared" si="26"/>
        <v>1</v>
      </c>
      <c r="R897" t="str">
        <f t="shared" si="27"/>
        <v>Normal</v>
      </c>
    </row>
    <row r="898" spans="1:18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>
        <f t="shared" ref="Q898:Q961" si="28">COUNTIF($A898:$A2305,A898)</f>
        <v>1</v>
      </c>
      <c r="R898" t="str">
        <f t="shared" si="27"/>
        <v>Normal</v>
      </c>
    </row>
    <row r="899" spans="1:18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1479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>
        <f t="shared" si="28"/>
        <v>1</v>
      </c>
      <c r="R899" t="str">
        <f t="shared" ref="R899:R962" si="29">IF(L899&gt;$T905,"Outlier","Normal")</f>
        <v>Normal</v>
      </c>
    </row>
    <row r="900" spans="1:18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>
        <f t="shared" si="28"/>
        <v>1</v>
      </c>
      <c r="R900" t="str">
        <f t="shared" si="29"/>
        <v>Normal</v>
      </c>
    </row>
    <row r="901" spans="1:18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>
        <f t="shared" si="28"/>
        <v>1</v>
      </c>
      <c r="R901" t="str">
        <f t="shared" si="29"/>
        <v>Normal</v>
      </c>
    </row>
    <row r="902" spans="1:18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>
        <f t="shared" si="28"/>
        <v>1</v>
      </c>
      <c r="R902" t="str">
        <f t="shared" si="29"/>
        <v>Normal</v>
      </c>
    </row>
    <row r="903" spans="1:18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>
        <f t="shared" si="28"/>
        <v>1</v>
      </c>
      <c r="R903" t="str">
        <f t="shared" si="29"/>
        <v>Normal</v>
      </c>
    </row>
    <row r="904" spans="1:18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>
        <f t="shared" si="28"/>
        <v>1</v>
      </c>
      <c r="R904" t="str">
        <f t="shared" si="29"/>
        <v>Normal</v>
      </c>
    </row>
    <row r="905" spans="1:18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>
        <f t="shared" si="28"/>
        <v>1</v>
      </c>
      <c r="R905" t="str">
        <f t="shared" si="29"/>
        <v>Normal</v>
      </c>
    </row>
    <row r="906" spans="1:18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f t="shared" si="28"/>
        <v>1</v>
      </c>
      <c r="R906" t="str">
        <f t="shared" si="29"/>
        <v>Outlier</v>
      </c>
    </row>
    <row r="907" spans="1:18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>
        <f t="shared" si="28"/>
        <v>1</v>
      </c>
      <c r="R907" t="str">
        <f t="shared" si="29"/>
        <v>Normal</v>
      </c>
    </row>
    <row r="908" spans="1:18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>
        <f t="shared" si="28"/>
        <v>1</v>
      </c>
      <c r="R908" t="str">
        <f t="shared" si="29"/>
        <v>Normal</v>
      </c>
    </row>
    <row r="909" spans="1:18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>
        <f t="shared" si="28"/>
        <v>1</v>
      </c>
      <c r="R909" t="str">
        <f t="shared" si="29"/>
        <v>Normal</v>
      </c>
    </row>
    <row r="910" spans="1:18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>
        <f t="shared" si="28"/>
        <v>1</v>
      </c>
      <c r="R910" t="str">
        <f t="shared" si="29"/>
        <v>Normal</v>
      </c>
    </row>
    <row r="911" spans="1:18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>
        <f t="shared" si="28"/>
        <v>1</v>
      </c>
      <c r="R911" t="str">
        <f t="shared" si="29"/>
        <v>Normal</v>
      </c>
    </row>
    <row r="912" spans="1:18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>
        <f t="shared" si="28"/>
        <v>1</v>
      </c>
      <c r="R912" t="str">
        <f t="shared" si="29"/>
        <v>Normal</v>
      </c>
    </row>
    <row r="913" spans="1:18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>
        <f t="shared" si="28"/>
        <v>1</v>
      </c>
      <c r="R913" t="str">
        <f t="shared" si="29"/>
        <v>Normal</v>
      </c>
    </row>
    <row r="914" spans="1:18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>
        <f t="shared" si="28"/>
        <v>1</v>
      </c>
      <c r="R914" t="str">
        <f t="shared" si="29"/>
        <v>Normal</v>
      </c>
    </row>
    <row r="915" spans="1:18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>
        <f t="shared" si="28"/>
        <v>1</v>
      </c>
      <c r="R915" t="str">
        <f t="shared" si="29"/>
        <v>Normal</v>
      </c>
    </row>
    <row r="916" spans="1:18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>
        <f t="shared" si="28"/>
        <v>1</v>
      </c>
      <c r="R916" t="str">
        <f t="shared" si="29"/>
        <v>Normal</v>
      </c>
    </row>
    <row r="917" spans="1:18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>
        <f t="shared" si="28"/>
        <v>1</v>
      </c>
      <c r="R917" t="str">
        <f t="shared" si="29"/>
        <v>Normal</v>
      </c>
    </row>
    <row r="918" spans="1:18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>
        <f t="shared" si="28"/>
        <v>1</v>
      </c>
      <c r="R918" t="str">
        <f t="shared" si="29"/>
        <v>Normal</v>
      </c>
    </row>
    <row r="919" spans="1:18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>
        <f t="shared" si="28"/>
        <v>1</v>
      </c>
      <c r="R919" t="str">
        <f t="shared" si="29"/>
        <v>Normal</v>
      </c>
    </row>
    <row r="920" spans="1:18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>
        <f t="shared" si="28"/>
        <v>1</v>
      </c>
      <c r="R920" t="str">
        <f t="shared" si="29"/>
        <v>Normal</v>
      </c>
    </row>
    <row r="921" spans="1:18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>
        <f t="shared" si="28"/>
        <v>1</v>
      </c>
      <c r="R921" t="str">
        <f t="shared" si="29"/>
        <v>Normal</v>
      </c>
    </row>
    <row r="922" spans="1:18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f t="shared" si="28"/>
        <v>1</v>
      </c>
      <c r="R922" t="str">
        <f t="shared" si="29"/>
        <v>Outlier</v>
      </c>
    </row>
    <row r="923" spans="1:18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>
        <f t="shared" si="28"/>
        <v>1</v>
      </c>
      <c r="R923" t="str">
        <f t="shared" si="29"/>
        <v>Normal</v>
      </c>
    </row>
    <row r="924" spans="1:18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>
        <f t="shared" si="28"/>
        <v>1</v>
      </c>
      <c r="R924" t="str">
        <f t="shared" si="29"/>
        <v>Normal</v>
      </c>
    </row>
    <row r="925" spans="1:18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>
        <f t="shared" si="28"/>
        <v>1</v>
      </c>
      <c r="R925" t="str">
        <f t="shared" si="29"/>
        <v>Normal</v>
      </c>
    </row>
    <row r="926" spans="1:18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>
        <f t="shared" si="28"/>
        <v>1</v>
      </c>
      <c r="R926" t="str">
        <f t="shared" si="29"/>
        <v>Normal</v>
      </c>
    </row>
    <row r="927" spans="1:18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>
        <f t="shared" si="28"/>
        <v>1</v>
      </c>
      <c r="R927" t="str">
        <f t="shared" si="29"/>
        <v>Normal</v>
      </c>
    </row>
    <row r="928" spans="1:18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>
        <f t="shared" si="28"/>
        <v>1</v>
      </c>
      <c r="R928" t="str">
        <f t="shared" si="29"/>
        <v>Normal</v>
      </c>
    </row>
    <row r="929" spans="1:18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>
        <f t="shared" si="28"/>
        <v>1</v>
      </c>
      <c r="R929" t="str">
        <f t="shared" si="29"/>
        <v>Normal</v>
      </c>
    </row>
    <row r="930" spans="1:18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>
        <f t="shared" si="28"/>
        <v>1</v>
      </c>
      <c r="R930" t="str">
        <f t="shared" si="29"/>
        <v>Normal</v>
      </c>
    </row>
    <row r="931" spans="1:18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>
        <f t="shared" si="28"/>
        <v>1</v>
      </c>
      <c r="R931" t="str">
        <f t="shared" si="29"/>
        <v>Normal</v>
      </c>
    </row>
    <row r="932" spans="1:18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>
        <f t="shared" si="28"/>
        <v>1</v>
      </c>
      <c r="R932" t="str">
        <f t="shared" si="29"/>
        <v>Outlier</v>
      </c>
    </row>
    <row r="933" spans="1:18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>
        <f t="shared" si="28"/>
        <v>1</v>
      </c>
      <c r="R933" t="str">
        <f t="shared" si="29"/>
        <v>Normal</v>
      </c>
    </row>
    <row r="934" spans="1:18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>
        <f t="shared" si="28"/>
        <v>1</v>
      </c>
      <c r="R934" t="str">
        <f t="shared" si="29"/>
        <v>Normal</v>
      </c>
    </row>
    <row r="935" spans="1:18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>
        <f t="shared" si="28"/>
        <v>1</v>
      </c>
      <c r="R935" t="str">
        <f t="shared" si="29"/>
        <v>Normal</v>
      </c>
    </row>
    <row r="936" spans="1:18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>
        <f t="shared" si="28"/>
        <v>1</v>
      </c>
      <c r="R936" t="str">
        <f t="shared" si="29"/>
        <v>Normal</v>
      </c>
    </row>
    <row r="937" spans="1:18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>
        <f t="shared" si="28"/>
        <v>1</v>
      </c>
      <c r="R937" t="str">
        <f t="shared" si="29"/>
        <v>Normal</v>
      </c>
    </row>
    <row r="938" spans="1:18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1479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>
        <f t="shared" si="28"/>
        <v>1</v>
      </c>
      <c r="R938" t="str">
        <f t="shared" si="29"/>
        <v>Normal</v>
      </c>
    </row>
    <row r="939" spans="1:18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>
        <f t="shared" si="28"/>
        <v>1</v>
      </c>
      <c r="R939" t="str">
        <f t="shared" si="29"/>
        <v>Normal</v>
      </c>
    </row>
    <row r="940" spans="1:18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>
        <f t="shared" si="28"/>
        <v>1</v>
      </c>
      <c r="R940" t="str">
        <f t="shared" si="29"/>
        <v>Normal</v>
      </c>
    </row>
    <row r="941" spans="1:18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>
        <f t="shared" si="28"/>
        <v>1</v>
      </c>
      <c r="R941" t="str">
        <f t="shared" si="29"/>
        <v>Normal</v>
      </c>
    </row>
    <row r="942" spans="1:18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>
        <f t="shared" si="28"/>
        <v>1</v>
      </c>
      <c r="R942" t="str">
        <f t="shared" si="29"/>
        <v>Normal</v>
      </c>
    </row>
    <row r="943" spans="1:18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>
        <f t="shared" si="28"/>
        <v>1</v>
      </c>
      <c r="R943" t="str">
        <f t="shared" si="29"/>
        <v>Normal</v>
      </c>
    </row>
    <row r="944" spans="1:18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f t="shared" si="28"/>
        <v>1</v>
      </c>
      <c r="R944" t="str">
        <f t="shared" si="29"/>
        <v>Outlier</v>
      </c>
    </row>
    <row r="945" spans="1:18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>
        <f t="shared" si="28"/>
        <v>1</v>
      </c>
      <c r="R945" t="str">
        <f t="shared" si="29"/>
        <v>Normal</v>
      </c>
    </row>
    <row r="946" spans="1:18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>
        <f t="shared" si="28"/>
        <v>1</v>
      </c>
      <c r="R946" t="str">
        <f t="shared" si="29"/>
        <v>Normal</v>
      </c>
    </row>
    <row r="947" spans="1:18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>
        <f t="shared" si="28"/>
        <v>1</v>
      </c>
      <c r="R947" t="str">
        <f t="shared" si="29"/>
        <v>Normal</v>
      </c>
    </row>
    <row r="948" spans="1:18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>
        <f t="shared" si="28"/>
        <v>1</v>
      </c>
      <c r="R948" t="str">
        <f t="shared" si="29"/>
        <v>Normal</v>
      </c>
    </row>
    <row r="949" spans="1:18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f t="shared" si="28"/>
        <v>1</v>
      </c>
      <c r="R949" t="str">
        <f t="shared" si="29"/>
        <v>Outlier</v>
      </c>
    </row>
    <row r="950" spans="1:18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>
        <f t="shared" si="28"/>
        <v>1</v>
      </c>
      <c r="R950" t="str">
        <f t="shared" si="29"/>
        <v>Normal</v>
      </c>
    </row>
    <row r="951" spans="1:18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>
        <f t="shared" si="28"/>
        <v>1</v>
      </c>
      <c r="R951" t="str">
        <f t="shared" si="29"/>
        <v>Normal</v>
      </c>
    </row>
    <row r="952" spans="1:18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>
        <f t="shared" si="28"/>
        <v>1</v>
      </c>
      <c r="R952" t="str">
        <f t="shared" si="29"/>
        <v>Normal</v>
      </c>
    </row>
    <row r="953" spans="1:18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1479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>
        <f t="shared" si="28"/>
        <v>1</v>
      </c>
      <c r="R953" t="str">
        <f t="shared" si="29"/>
        <v>Normal</v>
      </c>
    </row>
    <row r="954" spans="1:18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>
        <f t="shared" si="28"/>
        <v>1</v>
      </c>
      <c r="R954" t="str">
        <f t="shared" si="29"/>
        <v>Normal</v>
      </c>
    </row>
    <row r="955" spans="1:18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>
        <f t="shared" si="28"/>
        <v>1</v>
      </c>
      <c r="R955" t="str">
        <f t="shared" si="29"/>
        <v>Normal</v>
      </c>
    </row>
    <row r="956" spans="1:18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>
        <f t="shared" si="28"/>
        <v>1</v>
      </c>
      <c r="R956" t="str">
        <f t="shared" si="29"/>
        <v>Normal</v>
      </c>
    </row>
    <row r="957" spans="1:18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>
        <f t="shared" si="28"/>
        <v>1</v>
      </c>
      <c r="R957" t="str">
        <f t="shared" si="29"/>
        <v>Normal</v>
      </c>
    </row>
    <row r="958" spans="1:18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>
        <f t="shared" si="28"/>
        <v>1</v>
      </c>
      <c r="R958" t="str">
        <f t="shared" si="29"/>
        <v>Normal</v>
      </c>
    </row>
    <row r="959" spans="1:18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>
        <f t="shared" si="28"/>
        <v>1</v>
      </c>
      <c r="R959" t="str">
        <f t="shared" si="29"/>
        <v>Normal</v>
      </c>
    </row>
    <row r="960" spans="1:18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>
        <f t="shared" si="28"/>
        <v>1</v>
      </c>
      <c r="R960" t="str">
        <f t="shared" si="29"/>
        <v>Normal</v>
      </c>
    </row>
    <row r="961" spans="1:18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>
        <f t="shared" si="28"/>
        <v>1</v>
      </c>
      <c r="R961" t="str">
        <f t="shared" si="29"/>
        <v>Normal</v>
      </c>
    </row>
    <row r="962" spans="1:18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>
        <f t="shared" ref="Q962:Q1025" si="30">COUNTIF($A962:$A2369,A962)</f>
        <v>1</v>
      </c>
      <c r="R962" t="str">
        <f t="shared" si="29"/>
        <v>Normal</v>
      </c>
    </row>
    <row r="963" spans="1:18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>
        <f t="shared" si="30"/>
        <v>1</v>
      </c>
      <c r="R963" t="str">
        <f t="shared" ref="R963:R1026" si="31">IF(L963&gt;$T969,"Outlier","Normal")</f>
        <v>Normal</v>
      </c>
    </row>
    <row r="964" spans="1:18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>
        <f t="shared" si="30"/>
        <v>1</v>
      </c>
      <c r="R964" t="str">
        <f t="shared" si="31"/>
        <v>Normal</v>
      </c>
    </row>
    <row r="965" spans="1:18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>
        <f t="shared" si="30"/>
        <v>1</v>
      </c>
      <c r="R965" t="str">
        <f t="shared" si="31"/>
        <v>Normal</v>
      </c>
    </row>
    <row r="966" spans="1:18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>
        <f t="shared" si="30"/>
        <v>1</v>
      </c>
      <c r="R966" t="str">
        <f t="shared" si="31"/>
        <v>Normal</v>
      </c>
    </row>
    <row r="967" spans="1:18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>
        <f t="shared" si="30"/>
        <v>1</v>
      </c>
      <c r="R967" t="str">
        <f t="shared" si="31"/>
        <v>Normal</v>
      </c>
    </row>
    <row r="968" spans="1:18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1479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>
        <f t="shared" si="30"/>
        <v>1</v>
      </c>
      <c r="R968" t="str">
        <f t="shared" si="31"/>
        <v>Normal</v>
      </c>
    </row>
    <row r="969" spans="1:18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>
        <f t="shared" si="30"/>
        <v>1</v>
      </c>
      <c r="R969" t="str">
        <f t="shared" si="31"/>
        <v>Normal</v>
      </c>
    </row>
    <row r="970" spans="1:18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>
        <f t="shared" si="30"/>
        <v>1</v>
      </c>
      <c r="R970" t="str">
        <f t="shared" si="31"/>
        <v>Normal</v>
      </c>
    </row>
    <row r="971" spans="1:18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>
        <f t="shared" si="30"/>
        <v>1</v>
      </c>
      <c r="R971" t="str">
        <f t="shared" si="31"/>
        <v>Normal</v>
      </c>
    </row>
    <row r="972" spans="1:18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>
        <f t="shared" si="30"/>
        <v>1</v>
      </c>
      <c r="R972" t="str">
        <f t="shared" si="31"/>
        <v>Normal</v>
      </c>
    </row>
    <row r="973" spans="1:18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>
        <f t="shared" si="30"/>
        <v>1</v>
      </c>
      <c r="R973" t="str">
        <f t="shared" si="31"/>
        <v>Normal</v>
      </c>
    </row>
    <row r="974" spans="1:18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>
        <f t="shared" si="30"/>
        <v>1</v>
      </c>
      <c r="R974" t="str">
        <f t="shared" si="31"/>
        <v>Normal</v>
      </c>
    </row>
    <row r="975" spans="1:18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>
        <f t="shared" si="30"/>
        <v>1</v>
      </c>
      <c r="R975" t="str">
        <f t="shared" si="31"/>
        <v>Normal</v>
      </c>
    </row>
    <row r="976" spans="1:18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>
        <f t="shared" si="30"/>
        <v>1</v>
      </c>
      <c r="R976" t="str">
        <f t="shared" si="31"/>
        <v>Normal</v>
      </c>
    </row>
    <row r="977" spans="1:18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>
        <f t="shared" si="30"/>
        <v>1</v>
      </c>
      <c r="R977" t="str">
        <f t="shared" si="31"/>
        <v>Normal</v>
      </c>
    </row>
    <row r="978" spans="1:18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>
        <f t="shared" si="30"/>
        <v>1</v>
      </c>
      <c r="R978" t="str">
        <f t="shared" si="31"/>
        <v>Normal</v>
      </c>
    </row>
    <row r="979" spans="1:18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>
        <f t="shared" si="30"/>
        <v>1</v>
      </c>
      <c r="R979" t="str">
        <f t="shared" si="31"/>
        <v>Normal</v>
      </c>
    </row>
    <row r="980" spans="1:18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>
        <f t="shared" si="30"/>
        <v>1</v>
      </c>
      <c r="R980" t="str">
        <f t="shared" si="31"/>
        <v>Normal</v>
      </c>
    </row>
    <row r="981" spans="1:18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>
        <f t="shared" si="30"/>
        <v>1</v>
      </c>
      <c r="R981" t="str">
        <f t="shared" si="31"/>
        <v>Normal</v>
      </c>
    </row>
    <row r="982" spans="1:18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>
        <f t="shared" si="30"/>
        <v>1</v>
      </c>
      <c r="R982" t="str">
        <f t="shared" si="31"/>
        <v>Normal</v>
      </c>
    </row>
    <row r="983" spans="1:18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>
        <f t="shared" si="30"/>
        <v>1</v>
      </c>
      <c r="R983" t="str">
        <f t="shared" si="31"/>
        <v>Normal</v>
      </c>
    </row>
    <row r="984" spans="1:18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>
        <f t="shared" si="30"/>
        <v>1</v>
      </c>
      <c r="R984" t="str">
        <f t="shared" si="31"/>
        <v>Normal</v>
      </c>
    </row>
    <row r="985" spans="1:18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>
        <f t="shared" si="30"/>
        <v>1</v>
      </c>
      <c r="R985" t="str">
        <f t="shared" si="31"/>
        <v>Normal</v>
      </c>
    </row>
    <row r="986" spans="1:18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>
        <f t="shared" si="30"/>
        <v>1</v>
      </c>
      <c r="R986" t="str">
        <f t="shared" si="31"/>
        <v>Normal</v>
      </c>
    </row>
    <row r="987" spans="1:18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>
        <f t="shared" si="30"/>
        <v>1</v>
      </c>
      <c r="R987" t="str">
        <f t="shared" si="31"/>
        <v>Normal</v>
      </c>
    </row>
    <row r="988" spans="1:18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>
        <f t="shared" si="30"/>
        <v>1</v>
      </c>
      <c r="R988" t="str">
        <f t="shared" si="31"/>
        <v>Normal</v>
      </c>
    </row>
    <row r="989" spans="1:18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>
        <f t="shared" si="30"/>
        <v>1</v>
      </c>
      <c r="R989" t="str">
        <f t="shared" si="31"/>
        <v>Normal</v>
      </c>
    </row>
    <row r="990" spans="1:18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>
        <f t="shared" si="30"/>
        <v>1</v>
      </c>
      <c r="R990" t="str">
        <f t="shared" si="31"/>
        <v>Normal</v>
      </c>
    </row>
    <row r="991" spans="1:18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>
        <f t="shared" si="30"/>
        <v>1</v>
      </c>
      <c r="R991" t="str">
        <f t="shared" si="31"/>
        <v>Normal</v>
      </c>
    </row>
    <row r="992" spans="1:18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>
        <f t="shared" si="30"/>
        <v>1</v>
      </c>
      <c r="R992" t="str">
        <f t="shared" si="31"/>
        <v>Normal</v>
      </c>
    </row>
    <row r="993" spans="1:18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>
        <f t="shared" si="30"/>
        <v>1</v>
      </c>
      <c r="R993" t="str">
        <f t="shared" si="31"/>
        <v>Normal</v>
      </c>
    </row>
    <row r="994" spans="1:18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f t="shared" si="30"/>
        <v>1</v>
      </c>
      <c r="R994" t="str">
        <f t="shared" si="31"/>
        <v>Outlier</v>
      </c>
    </row>
    <row r="995" spans="1:18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>
        <f t="shared" si="30"/>
        <v>1</v>
      </c>
      <c r="R995" t="str">
        <f t="shared" si="31"/>
        <v>Normal</v>
      </c>
    </row>
    <row r="996" spans="1:18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>
        <f t="shared" si="30"/>
        <v>1</v>
      </c>
      <c r="R996" t="str">
        <f t="shared" si="31"/>
        <v>Normal</v>
      </c>
    </row>
    <row r="997" spans="1:18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>
        <f t="shared" si="30"/>
        <v>1</v>
      </c>
      <c r="R997" t="str">
        <f t="shared" si="31"/>
        <v>Normal</v>
      </c>
    </row>
    <row r="998" spans="1:18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f t="shared" si="30"/>
        <v>1</v>
      </c>
      <c r="R998" t="str">
        <f t="shared" si="31"/>
        <v>Outlier</v>
      </c>
    </row>
    <row r="999" spans="1:18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>
        <f t="shared" si="30"/>
        <v>1</v>
      </c>
      <c r="R999" t="str">
        <f t="shared" si="31"/>
        <v>Normal</v>
      </c>
    </row>
    <row r="1000" spans="1:18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>
        <f t="shared" si="30"/>
        <v>1</v>
      </c>
      <c r="R1000" t="str">
        <f t="shared" si="31"/>
        <v>Normal</v>
      </c>
    </row>
    <row r="1001" spans="1:18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>
        <f t="shared" si="30"/>
        <v>1</v>
      </c>
      <c r="R1001" t="str">
        <f t="shared" si="31"/>
        <v>Normal</v>
      </c>
    </row>
    <row r="1002" spans="1:18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>
        <f t="shared" si="30"/>
        <v>1</v>
      </c>
      <c r="R1002" t="str">
        <f t="shared" si="31"/>
        <v>Normal</v>
      </c>
    </row>
    <row r="1003" spans="1:18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>
        <f t="shared" si="30"/>
        <v>1</v>
      </c>
      <c r="R1003" t="str">
        <f t="shared" si="31"/>
        <v>Normal</v>
      </c>
    </row>
    <row r="1004" spans="1:18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>
        <f t="shared" si="30"/>
        <v>1</v>
      </c>
      <c r="R1004" t="str">
        <f t="shared" si="31"/>
        <v>Normal</v>
      </c>
    </row>
    <row r="1005" spans="1:18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>
        <f t="shared" si="30"/>
        <v>1</v>
      </c>
      <c r="R1005" t="str">
        <f t="shared" si="31"/>
        <v>Normal</v>
      </c>
    </row>
    <row r="1006" spans="1:18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>
        <f t="shared" si="30"/>
        <v>1</v>
      </c>
      <c r="R1006" t="str">
        <f t="shared" si="31"/>
        <v>Normal</v>
      </c>
    </row>
    <row r="1007" spans="1:18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>
        <f t="shared" si="30"/>
        <v>1</v>
      </c>
      <c r="R1007" t="str">
        <f t="shared" si="31"/>
        <v>Normal</v>
      </c>
    </row>
    <row r="1008" spans="1:18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>
        <f t="shared" si="30"/>
        <v>1</v>
      </c>
      <c r="R1008" t="str">
        <f t="shared" si="31"/>
        <v>Normal</v>
      </c>
    </row>
    <row r="1009" spans="1:18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>
        <f t="shared" si="30"/>
        <v>1</v>
      </c>
      <c r="R1009" t="str">
        <f t="shared" si="31"/>
        <v>Normal</v>
      </c>
    </row>
    <row r="1010" spans="1:18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>
        <f t="shared" si="30"/>
        <v>1</v>
      </c>
      <c r="R1010" t="str">
        <f t="shared" si="31"/>
        <v>Normal</v>
      </c>
    </row>
    <row r="1011" spans="1:18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>
        <f t="shared" si="30"/>
        <v>1</v>
      </c>
      <c r="R1011" t="str">
        <f t="shared" si="31"/>
        <v>Normal</v>
      </c>
    </row>
    <row r="1012" spans="1:18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>
        <f t="shared" si="30"/>
        <v>1</v>
      </c>
      <c r="R1012" t="str">
        <f t="shared" si="31"/>
        <v>Normal</v>
      </c>
    </row>
    <row r="1013" spans="1:18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f t="shared" si="30"/>
        <v>1</v>
      </c>
      <c r="R1013" t="str">
        <f t="shared" si="31"/>
        <v>Outlier</v>
      </c>
    </row>
    <row r="1014" spans="1:18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>
        <f t="shared" si="30"/>
        <v>1</v>
      </c>
      <c r="R1014" t="str">
        <f t="shared" si="31"/>
        <v>Normal</v>
      </c>
    </row>
    <row r="1015" spans="1:18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>
        <f t="shared" si="30"/>
        <v>1</v>
      </c>
      <c r="R1015" t="str">
        <f t="shared" si="31"/>
        <v>Normal</v>
      </c>
    </row>
    <row r="1016" spans="1:18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>
        <f t="shared" si="30"/>
        <v>1</v>
      </c>
      <c r="R1016" t="str">
        <f t="shared" si="31"/>
        <v>Normal</v>
      </c>
    </row>
    <row r="1017" spans="1:18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>
        <f t="shared" si="30"/>
        <v>1</v>
      </c>
      <c r="R1017" t="str">
        <f t="shared" si="31"/>
        <v>Normal</v>
      </c>
    </row>
    <row r="1018" spans="1:18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>
        <f t="shared" si="30"/>
        <v>1</v>
      </c>
      <c r="R1018" t="str">
        <f t="shared" si="31"/>
        <v>Normal</v>
      </c>
    </row>
    <row r="1019" spans="1:18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1479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>
        <f t="shared" si="30"/>
        <v>1</v>
      </c>
      <c r="R1019" t="str">
        <f t="shared" si="31"/>
        <v>Normal</v>
      </c>
    </row>
    <row r="1020" spans="1:18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>
        <f t="shared" si="30"/>
        <v>1</v>
      </c>
      <c r="R1020" t="str">
        <f t="shared" si="31"/>
        <v>Normal</v>
      </c>
    </row>
    <row r="1021" spans="1:18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>
        <f t="shared" si="30"/>
        <v>1</v>
      </c>
      <c r="R1021" t="str">
        <f t="shared" si="31"/>
        <v>Normal</v>
      </c>
    </row>
    <row r="1022" spans="1:18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>
        <f t="shared" si="30"/>
        <v>1</v>
      </c>
      <c r="R1022" t="str">
        <f t="shared" si="31"/>
        <v>Normal</v>
      </c>
    </row>
    <row r="1023" spans="1:18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>
        <f t="shared" si="30"/>
        <v>1</v>
      </c>
      <c r="R1023" t="str">
        <f t="shared" si="31"/>
        <v>Normal</v>
      </c>
    </row>
    <row r="1024" spans="1:18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>
        <f t="shared" si="30"/>
        <v>1</v>
      </c>
      <c r="R1024" t="str">
        <f t="shared" si="31"/>
        <v>Normal</v>
      </c>
    </row>
    <row r="1025" spans="1:18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>
        <f t="shared" si="30"/>
        <v>1</v>
      </c>
      <c r="R1025" t="str">
        <f t="shared" si="31"/>
        <v>Normal</v>
      </c>
    </row>
    <row r="1026" spans="1:18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>
        <f t="shared" ref="Q1026:Q1089" si="32">COUNTIF($A1026:$A2433,A1026)</f>
        <v>1</v>
      </c>
      <c r="R1026" t="str">
        <f t="shared" si="31"/>
        <v>Outlier</v>
      </c>
    </row>
    <row r="1027" spans="1:18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>
        <f t="shared" si="32"/>
        <v>1</v>
      </c>
      <c r="R1027" t="str">
        <f t="shared" ref="R1027:R1090" si="33">IF(L1027&gt;$T1033,"Outlier","Normal")</f>
        <v>Normal</v>
      </c>
    </row>
    <row r="1028" spans="1:18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>
        <f t="shared" si="32"/>
        <v>1</v>
      </c>
      <c r="R1028" t="str">
        <f t="shared" si="33"/>
        <v>Normal</v>
      </c>
    </row>
    <row r="1029" spans="1:18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>
        <f t="shared" si="32"/>
        <v>1</v>
      </c>
      <c r="R1029" t="str">
        <f t="shared" si="33"/>
        <v>Normal</v>
      </c>
    </row>
    <row r="1030" spans="1:18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>
        <f t="shared" si="32"/>
        <v>1</v>
      </c>
      <c r="R1030" t="str">
        <f t="shared" si="33"/>
        <v>Normal</v>
      </c>
    </row>
    <row r="1031" spans="1:18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>
        <f t="shared" si="32"/>
        <v>1</v>
      </c>
      <c r="R1031" t="str">
        <f t="shared" si="33"/>
        <v>Normal</v>
      </c>
    </row>
    <row r="1032" spans="1:18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>
        <f t="shared" si="32"/>
        <v>1</v>
      </c>
      <c r="R1032" t="str">
        <f t="shared" si="33"/>
        <v>Normal</v>
      </c>
    </row>
    <row r="1033" spans="1:18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>
        <f t="shared" si="32"/>
        <v>1</v>
      </c>
      <c r="R1033" t="str">
        <f t="shared" si="33"/>
        <v>Normal</v>
      </c>
    </row>
    <row r="1034" spans="1:18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>
        <f t="shared" si="32"/>
        <v>1</v>
      </c>
      <c r="R1034" t="str">
        <f t="shared" si="33"/>
        <v>Normal</v>
      </c>
    </row>
    <row r="1035" spans="1:18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>
        <f t="shared" si="32"/>
        <v>1</v>
      </c>
      <c r="R1035" t="str">
        <f t="shared" si="33"/>
        <v>Normal</v>
      </c>
    </row>
    <row r="1036" spans="1:18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>
        <f t="shared" si="32"/>
        <v>1</v>
      </c>
      <c r="R1036" t="str">
        <f t="shared" si="33"/>
        <v>Normal</v>
      </c>
    </row>
    <row r="1037" spans="1:18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>
        <f t="shared" si="32"/>
        <v>1</v>
      </c>
      <c r="R1037" t="str">
        <f t="shared" si="33"/>
        <v>Normal</v>
      </c>
    </row>
    <row r="1038" spans="1:18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>
        <f t="shared" si="32"/>
        <v>1</v>
      </c>
      <c r="R1038" t="str">
        <f t="shared" si="33"/>
        <v>Normal</v>
      </c>
    </row>
    <row r="1039" spans="1:18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>
        <f t="shared" si="32"/>
        <v>1</v>
      </c>
      <c r="R1039" t="str">
        <f t="shared" si="33"/>
        <v>Normal</v>
      </c>
    </row>
    <row r="1040" spans="1:18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>
        <f t="shared" si="32"/>
        <v>1</v>
      </c>
      <c r="R1040" t="str">
        <f t="shared" si="33"/>
        <v>Normal</v>
      </c>
    </row>
    <row r="1041" spans="1:18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>
        <f t="shared" si="32"/>
        <v>1</v>
      </c>
      <c r="R1041" t="str">
        <f t="shared" si="33"/>
        <v>Normal</v>
      </c>
    </row>
    <row r="1042" spans="1:18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>
        <f t="shared" si="32"/>
        <v>1</v>
      </c>
      <c r="R1042" t="str">
        <f t="shared" si="33"/>
        <v>Normal</v>
      </c>
    </row>
    <row r="1043" spans="1:18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>
        <f t="shared" si="32"/>
        <v>1</v>
      </c>
      <c r="R1043" t="str">
        <f t="shared" si="33"/>
        <v>Normal</v>
      </c>
    </row>
    <row r="1044" spans="1:18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>
        <f t="shared" si="32"/>
        <v>1</v>
      </c>
      <c r="R1044" t="str">
        <f t="shared" si="33"/>
        <v>Normal</v>
      </c>
    </row>
    <row r="1045" spans="1:18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>
        <f t="shared" si="32"/>
        <v>1</v>
      </c>
      <c r="R1045" t="str">
        <f t="shared" si="33"/>
        <v>Normal</v>
      </c>
    </row>
    <row r="1046" spans="1:18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1479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>
        <f t="shared" si="32"/>
        <v>1</v>
      </c>
      <c r="R1046" t="str">
        <f t="shared" si="33"/>
        <v>Normal</v>
      </c>
    </row>
    <row r="1047" spans="1:18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>
        <f t="shared" si="32"/>
        <v>1</v>
      </c>
      <c r="R1047" t="str">
        <f t="shared" si="33"/>
        <v>Normal</v>
      </c>
    </row>
    <row r="1048" spans="1:18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>
        <f t="shared" si="32"/>
        <v>1</v>
      </c>
      <c r="R1048" t="str">
        <f t="shared" si="33"/>
        <v>Normal</v>
      </c>
    </row>
    <row r="1049" spans="1:18">
      <c r="A1049" t="s">
        <v>1080</v>
      </c>
      <c r="B1049" s="2">
        <v>45708</v>
      </c>
      <c r="C1049" t="s">
        <v>723</v>
      </c>
      <c r="D1049" t="s">
        <v>28</v>
      </c>
      <c r="E1049" t="s">
        <v>1479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>
        <f t="shared" si="32"/>
        <v>1</v>
      </c>
      <c r="R1049" t="str">
        <f t="shared" si="33"/>
        <v>Normal</v>
      </c>
    </row>
    <row r="1050" spans="1:18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>
        <f t="shared" si="32"/>
        <v>1</v>
      </c>
      <c r="R1050" t="str">
        <f t="shared" si="33"/>
        <v>Normal</v>
      </c>
    </row>
    <row r="1051" spans="1:18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>
        <f t="shared" si="32"/>
        <v>1</v>
      </c>
      <c r="R1051" t="str">
        <f t="shared" si="33"/>
        <v>Normal</v>
      </c>
    </row>
    <row r="1052" spans="1:18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>
        <f t="shared" si="32"/>
        <v>1</v>
      </c>
      <c r="R1052" t="str">
        <f t="shared" si="33"/>
        <v>Normal</v>
      </c>
    </row>
    <row r="1053" spans="1:18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>
        <f t="shared" si="32"/>
        <v>1</v>
      </c>
      <c r="R1053" t="str">
        <f t="shared" si="33"/>
        <v>Normal</v>
      </c>
    </row>
    <row r="1054" spans="1:18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>
        <f t="shared" si="32"/>
        <v>1</v>
      </c>
      <c r="R1054" t="str">
        <f t="shared" si="33"/>
        <v>Outlier</v>
      </c>
    </row>
    <row r="1055" spans="1:18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>
        <f t="shared" si="32"/>
        <v>1</v>
      </c>
      <c r="R1055" t="str">
        <f t="shared" si="33"/>
        <v>Normal</v>
      </c>
    </row>
    <row r="1056" spans="1:18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>
        <f t="shared" si="32"/>
        <v>1</v>
      </c>
      <c r="R1056" t="str">
        <f t="shared" si="33"/>
        <v>Normal</v>
      </c>
    </row>
    <row r="1057" spans="1:18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>
        <f t="shared" si="32"/>
        <v>1</v>
      </c>
      <c r="R1057" t="str">
        <f t="shared" si="33"/>
        <v>Normal</v>
      </c>
    </row>
    <row r="1058" spans="1:18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>
        <f t="shared" si="32"/>
        <v>1</v>
      </c>
      <c r="R1058" t="str">
        <f t="shared" si="33"/>
        <v>Normal</v>
      </c>
    </row>
    <row r="1059" spans="1:18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>
        <f t="shared" si="32"/>
        <v>1</v>
      </c>
      <c r="R1059" t="str">
        <f t="shared" si="33"/>
        <v>Normal</v>
      </c>
    </row>
    <row r="1060" spans="1:18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>
        <f t="shared" si="32"/>
        <v>1</v>
      </c>
      <c r="R1060" t="str">
        <f t="shared" si="33"/>
        <v>Normal</v>
      </c>
    </row>
    <row r="1061" spans="1:18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>
        <f t="shared" si="32"/>
        <v>1</v>
      </c>
      <c r="R1061" t="str">
        <f t="shared" si="33"/>
        <v>Normal</v>
      </c>
    </row>
    <row r="1062" spans="1:18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>
        <f t="shared" si="32"/>
        <v>1</v>
      </c>
      <c r="R1062" t="str">
        <f t="shared" si="33"/>
        <v>Normal</v>
      </c>
    </row>
    <row r="1063" spans="1:18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f t="shared" si="32"/>
        <v>1</v>
      </c>
      <c r="R1063" t="str">
        <f t="shared" si="33"/>
        <v>Outlier</v>
      </c>
    </row>
    <row r="1064" spans="1:18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>
        <f t="shared" si="32"/>
        <v>1</v>
      </c>
      <c r="R1064" t="str">
        <f t="shared" si="33"/>
        <v>Normal</v>
      </c>
    </row>
    <row r="1065" spans="1:18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>
        <f t="shared" si="32"/>
        <v>1</v>
      </c>
      <c r="R1065" t="str">
        <f t="shared" si="33"/>
        <v>Normal</v>
      </c>
    </row>
    <row r="1066" spans="1:18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>
        <f t="shared" si="32"/>
        <v>1</v>
      </c>
      <c r="R1066" t="str">
        <f t="shared" si="33"/>
        <v>Normal</v>
      </c>
    </row>
    <row r="1067" spans="1:18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>
        <f t="shared" si="32"/>
        <v>1</v>
      </c>
      <c r="R1067" t="str">
        <f t="shared" si="33"/>
        <v>Normal</v>
      </c>
    </row>
    <row r="1068" spans="1:18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>
        <f t="shared" si="32"/>
        <v>1</v>
      </c>
      <c r="R1068" t="str">
        <f t="shared" si="33"/>
        <v>Normal</v>
      </c>
    </row>
    <row r="1069" spans="1:18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>
        <f t="shared" si="32"/>
        <v>1</v>
      </c>
      <c r="R1069" t="str">
        <f t="shared" si="33"/>
        <v>Normal</v>
      </c>
    </row>
    <row r="1070" spans="1:18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>
        <f t="shared" si="32"/>
        <v>1</v>
      </c>
      <c r="R1070" t="str">
        <f t="shared" si="33"/>
        <v>Normal</v>
      </c>
    </row>
    <row r="1071" spans="1:18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>
        <f t="shared" si="32"/>
        <v>1</v>
      </c>
      <c r="R1071" t="str">
        <f t="shared" si="33"/>
        <v>Normal</v>
      </c>
    </row>
    <row r="1072" spans="1:18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>
        <f t="shared" si="32"/>
        <v>1</v>
      </c>
      <c r="R1072" t="str">
        <f t="shared" si="33"/>
        <v>Normal</v>
      </c>
    </row>
    <row r="1073" spans="1:18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>
        <f t="shared" si="32"/>
        <v>1</v>
      </c>
      <c r="R1073" t="str">
        <f t="shared" si="33"/>
        <v>Normal</v>
      </c>
    </row>
    <row r="1074" spans="1:18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>
        <f t="shared" si="32"/>
        <v>1</v>
      </c>
      <c r="R1074" t="str">
        <f t="shared" si="33"/>
        <v>Normal</v>
      </c>
    </row>
    <row r="1075" spans="1:18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f t="shared" si="32"/>
        <v>1</v>
      </c>
      <c r="R1075" t="str">
        <f t="shared" si="33"/>
        <v>Outlier</v>
      </c>
    </row>
    <row r="1076" spans="1:18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>
        <f t="shared" si="32"/>
        <v>1</v>
      </c>
      <c r="R1076" t="str">
        <f t="shared" si="33"/>
        <v>Normal</v>
      </c>
    </row>
    <row r="1077" spans="1:18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>
        <f t="shared" si="32"/>
        <v>1</v>
      </c>
      <c r="R1077" t="str">
        <f t="shared" si="33"/>
        <v>Normal</v>
      </c>
    </row>
    <row r="1078" spans="1:18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f t="shared" si="32"/>
        <v>1</v>
      </c>
      <c r="R1078" t="str">
        <f t="shared" si="33"/>
        <v>Outlier</v>
      </c>
    </row>
    <row r="1079" spans="1:18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f t="shared" si="32"/>
        <v>1</v>
      </c>
      <c r="R1079" t="str">
        <f t="shared" si="33"/>
        <v>Outlier</v>
      </c>
    </row>
    <row r="1080" spans="1:18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>
        <f t="shared" si="32"/>
        <v>1</v>
      </c>
      <c r="R1080" t="str">
        <f t="shared" si="33"/>
        <v>Normal</v>
      </c>
    </row>
    <row r="1081" spans="1:18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>
        <f t="shared" si="32"/>
        <v>1</v>
      </c>
      <c r="R1081" t="str">
        <f t="shared" si="33"/>
        <v>Normal</v>
      </c>
    </row>
    <row r="1082" spans="1:18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>
        <f t="shared" si="32"/>
        <v>1</v>
      </c>
      <c r="R1082" t="str">
        <f t="shared" si="33"/>
        <v>Normal</v>
      </c>
    </row>
    <row r="1083" spans="1:18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>
        <f t="shared" si="32"/>
        <v>1</v>
      </c>
      <c r="R1083" t="str">
        <f t="shared" si="33"/>
        <v>Normal</v>
      </c>
    </row>
    <row r="1084" spans="1:18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>
        <f t="shared" si="32"/>
        <v>1</v>
      </c>
      <c r="R1084" t="str">
        <f t="shared" si="33"/>
        <v>Normal</v>
      </c>
    </row>
    <row r="1085" spans="1:18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>
        <f t="shared" si="32"/>
        <v>1</v>
      </c>
      <c r="R1085" t="str">
        <f t="shared" si="33"/>
        <v>Normal</v>
      </c>
    </row>
    <row r="1086" spans="1:18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>
        <f t="shared" si="32"/>
        <v>1</v>
      </c>
      <c r="R1086" t="str">
        <f t="shared" si="33"/>
        <v>Normal</v>
      </c>
    </row>
    <row r="1087" spans="1:18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>
        <f t="shared" si="32"/>
        <v>1</v>
      </c>
      <c r="R1087" t="str">
        <f t="shared" si="33"/>
        <v>Normal</v>
      </c>
    </row>
    <row r="1088" spans="1:18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>
        <f t="shared" si="32"/>
        <v>1</v>
      </c>
      <c r="R1088" t="str">
        <f t="shared" si="33"/>
        <v>Normal</v>
      </c>
    </row>
    <row r="1089" spans="1:18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>
        <f t="shared" si="32"/>
        <v>1</v>
      </c>
      <c r="R1089" t="str">
        <f t="shared" si="33"/>
        <v>Normal</v>
      </c>
    </row>
    <row r="1090" spans="1:18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>
        <f t="shared" ref="Q1090:Q1153" si="34">COUNTIF($A1090:$A2497,A1090)</f>
        <v>1</v>
      </c>
      <c r="R1090" t="str">
        <f t="shared" si="33"/>
        <v>Normal</v>
      </c>
    </row>
    <row r="1091" spans="1:18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>
        <f t="shared" si="34"/>
        <v>1</v>
      </c>
      <c r="R1091" t="str">
        <f t="shared" ref="R1091:R1154" si="35">IF(L1091&gt;$T1097,"Outlier","Normal")</f>
        <v>Normal</v>
      </c>
    </row>
    <row r="1092" spans="1:18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>
        <f t="shared" si="34"/>
        <v>1</v>
      </c>
      <c r="R1092" t="str">
        <f t="shared" si="35"/>
        <v>Normal</v>
      </c>
    </row>
    <row r="1093" spans="1:18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>
        <f t="shared" si="34"/>
        <v>1</v>
      </c>
      <c r="R1093" t="str">
        <f t="shared" si="35"/>
        <v>Normal</v>
      </c>
    </row>
    <row r="1094" spans="1:18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>
        <f t="shared" si="34"/>
        <v>1</v>
      </c>
      <c r="R1094" t="str">
        <f t="shared" si="35"/>
        <v>Normal</v>
      </c>
    </row>
    <row r="1095" spans="1:18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>
        <f t="shared" si="34"/>
        <v>1</v>
      </c>
      <c r="R1095" t="str">
        <f t="shared" si="35"/>
        <v>Normal</v>
      </c>
    </row>
    <row r="1096" spans="1:18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>
        <f t="shared" si="34"/>
        <v>1</v>
      </c>
      <c r="R1096" t="str">
        <f t="shared" si="35"/>
        <v>Normal</v>
      </c>
    </row>
    <row r="1097" spans="1:18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>
        <f t="shared" si="34"/>
        <v>1</v>
      </c>
      <c r="R1097" t="str">
        <f t="shared" si="35"/>
        <v>Normal</v>
      </c>
    </row>
    <row r="1098" spans="1:18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>
        <f t="shared" si="34"/>
        <v>1</v>
      </c>
      <c r="R1098" t="str">
        <f t="shared" si="35"/>
        <v>Normal</v>
      </c>
    </row>
    <row r="1099" spans="1:18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>
        <f t="shared" si="34"/>
        <v>1</v>
      </c>
      <c r="R1099" t="str">
        <f t="shared" si="35"/>
        <v>Normal</v>
      </c>
    </row>
    <row r="1100" spans="1:18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>
        <f t="shared" si="34"/>
        <v>1</v>
      </c>
      <c r="R1100" t="str">
        <f t="shared" si="35"/>
        <v>Normal</v>
      </c>
    </row>
    <row r="1101" spans="1:18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>
        <f t="shared" si="34"/>
        <v>1</v>
      </c>
      <c r="R1101" t="str">
        <f t="shared" si="35"/>
        <v>Normal</v>
      </c>
    </row>
    <row r="1102" spans="1:18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>
        <f t="shared" si="34"/>
        <v>1</v>
      </c>
      <c r="R1102" t="str">
        <f t="shared" si="35"/>
        <v>Normal</v>
      </c>
    </row>
    <row r="1103" spans="1:18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>
        <f t="shared" si="34"/>
        <v>1</v>
      </c>
      <c r="R1103" t="str">
        <f t="shared" si="35"/>
        <v>Normal</v>
      </c>
    </row>
    <row r="1104" spans="1:18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>
        <f t="shared" si="34"/>
        <v>1</v>
      </c>
      <c r="R1104" t="str">
        <f t="shared" si="35"/>
        <v>Normal</v>
      </c>
    </row>
    <row r="1105" spans="1:18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>
        <f t="shared" si="34"/>
        <v>1</v>
      </c>
      <c r="R1105" t="str">
        <f t="shared" si="35"/>
        <v>Normal</v>
      </c>
    </row>
    <row r="1106" spans="1:18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>
        <f t="shared" si="34"/>
        <v>1</v>
      </c>
      <c r="R1106" t="str">
        <f t="shared" si="35"/>
        <v>Normal</v>
      </c>
    </row>
    <row r="1107" spans="1:18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>
        <f t="shared" si="34"/>
        <v>1</v>
      </c>
      <c r="R1107" t="str">
        <f t="shared" si="35"/>
        <v>Normal</v>
      </c>
    </row>
    <row r="1108" spans="1:18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>
        <f t="shared" si="34"/>
        <v>1</v>
      </c>
      <c r="R1108" t="str">
        <f t="shared" si="35"/>
        <v>Normal</v>
      </c>
    </row>
    <row r="1109" spans="1:18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>
        <f t="shared" si="34"/>
        <v>1</v>
      </c>
      <c r="R1109" t="str">
        <f t="shared" si="35"/>
        <v>Normal</v>
      </c>
    </row>
    <row r="1110" spans="1:18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>
        <f t="shared" si="34"/>
        <v>1</v>
      </c>
      <c r="R1110" t="str">
        <f t="shared" si="35"/>
        <v>Normal</v>
      </c>
    </row>
    <row r="1111" spans="1:18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>
        <f t="shared" si="34"/>
        <v>1</v>
      </c>
      <c r="R1111" t="str">
        <f t="shared" si="35"/>
        <v>Normal</v>
      </c>
    </row>
    <row r="1112" spans="1:18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>
        <f t="shared" si="34"/>
        <v>1</v>
      </c>
      <c r="R1112" t="str">
        <f t="shared" si="35"/>
        <v>Normal</v>
      </c>
    </row>
    <row r="1113" spans="1:18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>
        <f t="shared" si="34"/>
        <v>1</v>
      </c>
      <c r="R1113" t="str">
        <f t="shared" si="35"/>
        <v>Normal</v>
      </c>
    </row>
    <row r="1114" spans="1:18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>
        <f t="shared" si="34"/>
        <v>1</v>
      </c>
      <c r="R1114" t="str">
        <f t="shared" si="35"/>
        <v>Normal</v>
      </c>
    </row>
    <row r="1115" spans="1:18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f t="shared" si="34"/>
        <v>1</v>
      </c>
      <c r="R1115" t="str">
        <f t="shared" si="35"/>
        <v>Outlier</v>
      </c>
    </row>
    <row r="1116" spans="1:18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>
        <f t="shared" si="34"/>
        <v>1</v>
      </c>
      <c r="R1116" t="str">
        <f t="shared" si="35"/>
        <v>Normal</v>
      </c>
    </row>
    <row r="1117" spans="1:18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>
        <f t="shared" si="34"/>
        <v>1</v>
      </c>
      <c r="R1117" t="str">
        <f t="shared" si="35"/>
        <v>Normal</v>
      </c>
    </row>
    <row r="1118" spans="1:18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>
        <f t="shared" si="34"/>
        <v>1</v>
      </c>
      <c r="R1118" t="str">
        <f t="shared" si="35"/>
        <v>Normal</v>
      </c>
    </row>
    <row r="1119" spans="1:18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>
        <f t="shared" si="34"/>
        <v>1</v>
      </c>
      <c r="R1119" t="str">
        <f t="shared" si="35"/>
        <v>Normal</v>
      </c>
    </row>
    <row r="1120" spans="1:18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>
        <f t="shared" si="34"/>
        <v>1</v>
      </c>
      <c r="R1120" t="str">
        <f t="shared" si="35"/>
        <v>Normal</v>
      </c>
    </row>
    <row r="1121" spans="1:18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>
        <f t="shared" si="34"/>
        <v>1</v>
      </c>
      <c r="R1121" t="str">
        <f t="shared" si="35"/>
        <v>Normal</v>
      </c>
    </row>
    <row r="1122" spans="1:18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>
        <f t="shared" si="34"/>
        <v>1</v>
      </c>
      <c r="R1122" t="str">
        <f t="shared" si="35"/>
        <v>Normal</v>
      </c>
    </row>
    <row r="1123" spans="1:18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>
        <f t="shared" si="34"/>
        <v>1</v>
      </c>
      <c r="R1123" t="str">
        <f t="shared" si="35"/>
        <v>Normal</v>
      </c>
    </row>
    <row r="1124" spans="1:18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>
        <f t="shared" si="34"/>
        <v>1</v>
      </c>
      <c r="R1124" t="str">
        <f t="shared" si="35"/>
        <v>Normal</v>
      </c>
    </row>
    <row r="1125" spans="1:18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>
        <f t="shared" si="34"/>
        <v>1</v>
      </c>
      <c r="R1125" t="str">
        <f t="shared" si="35"/>
        <v>Normal</v>
      </c>
    </row>
    <row r="1126" spans="1:18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>
        <f t="shared" si="34"/>
        <v>1</v>
      </c>
      <c r="R1126" t="str">
        <f t="shared" si="35"/>
        <v>Normal</v>
      </c>
    </row>
    <row r="1127" spans="1:18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>
        <f t="shared" si="34"/>
        <v>1</v>
      </c>
      <c r="R1127" t="str">
        <f t="shared" si="35"/>
        <v>Normal</v>
      </c>
    </row>
    <row r="1128" spans="1:18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>
        <f t="shared" si="34"/>
        <v>1</v>
      </c>
      <c r="R1128" t="str">
        <f t="shared" si="35"/>
        <v>Normal</v>
      </c>
    </row>
    <row r="1129" spans="1:18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>
        <f t="shared" si="34"/>
        <v>1</v>
      </c>
      <c r="R1129" t="str">
        <f t="shared" si="35"/>
        <v>Normal</v>
      </c>
    </row>
    <row r="1130" spans="1:18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>
        <f t="shared" si="34"/>
        <v>1</v>
      </c>
      <c r="R1130" t="str">
        <f t="shared" si="35"/>
        <v>Normal</v>
      </c>
    </row>
    <row r="1131" spans="1:18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>
        <f t="shared" si="34"/>
        <v>1</v>
      </c>
      <c r="R1131" t="str">
        <f t="shared" si="35"/>
        <v>Normal</v>
      </c>
    </row>
    <row r="1132" spans="1:18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>
        <f t="shared" si="34"/>
        <v>1</v>
      </c>
      <c r="R1132" t="str">
        <f t="shared" si="35"/>
        <v>Normal</v>
      </c>
    </row>
    <row r="1133" spans="1:18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>
        <f t="shared" si="34"/>
        <v>1</v>
      </c>
      <c r="R1133" t="str">
        <f t="shared" si="35"/>
        <v>Normal</v>
      </c>
    </row>
    <row r="1134" spans="1:18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>
        <f t="shared" si="34"/>
        <v>1</v>
      </c>
      <c r="R1134" t="str">
        <f t="shared" si="35"/>
        <v>Normal</v>
      </c>
    </row>
    <row r="1135" spans="1:18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1479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>
        <f t="shared" si="34"/>
        <v>1</v>
      </c>
      <c r="R1135" t="str">
        <f t="shared" si="35"/>
        <v>Normal</v>
      </c>
    </row>
    <row r="1136" spans="1:18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>
        <f t="shared" si="34"/>
        <v>1</v>
      </c>
      <c r="R1136" t="str">
        <f t="shared" si="35"/>
        <v>Normal</v>
      </c>
    </row>
    <row r="1137" spans="1:18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>
        <f t="shared" si="34"/>
        <v>1</v>
      </c>
      <c r="R1137" t="str">
        <f t="shared" si="35"/>
        <v>Normal</v>
      </c>
    </row>
    <row r="1138" spans="1:18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>
        <f t="shared" si="34"/>
        <v>1</v>
      </c>
      <c r="R1138" t="str">
        <f t="shared" si="35"/>
        <v>Normal</v>
      </c>
    </row>
    <row r="1139" spans="1:18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>
        <f t="shared" si="34"/>
        <v>1</v>
      </c>
      <c r="R1139" t="str">
        <f t="shared" si="35"/>
        <v>Normal</v>
      </c>
    </row>
    <row r="1140" spans="1:18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>
        <f t="shared" si="34"/>
        <v>1</v>
      </c>
      <c r="R1140" t="str">
        <f t="shared" si="35"/>
        <v>Normal</v>
      </c>
    </row>
    <row r="1141" spans="1:18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>
        <f t="shared" si="34"/>
        <v>1</v>
      </c>
      <c r="R1141" t="str">
        <f t="shared" si="35"/>
        <v>Normal</v>
      </c>
    </row>
    <row r="1142" spans="1:18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>
        <f t="shared" si="34"/>
        <v>1</v>
      </c>
      <c r="R1142" t="str">
        <f t="shared" si="35"/>
        <v>Normal</v>
      </c>
    </row>
    <row r="1143" spans="1:18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>
        <f t="shared" si="34"/>
        <v>1</v>
      </c>
      <c r="R1143" t="str">
        <f t="shared" si="35"/>
        <v>Outlier</v>
      </c>
    </row>
    <row r="1144" spans="1:18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>
        <f t="shared" si="34"/>
        <v>1</v>
      </c>
      <c r="R1144" t="str">
        <f t="shared" si="35"/>
        <v>Normal</v>
      </c>
    </row>
    <row r="1145" spans="1:18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>
        <f t="shared" si="34"/>
        <v>1</v>
      </c>
      <c r="R1145" t="str">
        <f t="shared" si="35"/>
        <v>Normal</v>
      </c>
    </row>
    <row r="1146" spans="1:18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f t="shared" si="34"/>
        <v>1</v>
      </c>
      <c r="R1146" t="str">
        <f t="shared" si="35"/>
        <v>Outlier</v>
      </c>
    </row>
    <row r="1147" spans="1:18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>
        <f t="shared" si="34"/>
        <v>1</v>
      </c>
      <c r="R1147" t="str">
        <f t="shared" si="35"/>
        <v>Normal</v>
      </c>
    </row>
    <row r="1148" spans="1:18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>
        <f t="shared" si="34"/>
        <v>1</v>
      </c>
      <c r="R1148" t="str">
        <f t="shared" si="35"/>
        <v>Outlier</v>
      </c>
    </row>
    <row r="1149" spans="1:18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1479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>
        <f t="shared" si="34"/>
        <v>1</v>
      </c>
      <c r="R1149" t="str">
        <f t="shared" si="35"/>
        <v>Normal</v>
      </c>
    </row>
    <row r="1150" spans="1:18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>
        <f t="shared" si="34"/>
        <v>1</v>
      </c>
      <c r="R1150" t="str">
        <f t="shared" si="35"/>
        <v>Normal</v>
      </c>
    </row>
    <row r="1151" spans="1:18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>
        <f t="shared" si="34"/>
        <v>1</v>
      </c>
      <c r="R1151" t="str">
        <f t="shared" si="35"/>
        <v>Normal</v>
      </c>
    </row>
    <row r="1152" spans="1:18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>
        <f t="shared" si="34"/>
        <v>1</v>
      </c>
      <c r="R1152" t="str">
        <f t="shared" si="35"/>
        <v>Normal</v>
      </c>
    </row>
    <row r="1153" spans="1:18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>
        <f t="shared" si="34"/>
        <v>1</v>
      </c>
      <c r="R1153" t="str">
        <f t="shared" si="35"/>
        <v>Normal</v>
      </c>
    </row>
    <row r="1154" spans="1:18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>
        <f t="shared" ref="Q1154:Q1217" si="36">COUNTIF($A1154:$A2561,A1154)</f>
        <v>1</v>
      </c>
      <c r="R1154" t="str">
        <f t="shared" si="35"/>
        <v>Normal</v>
      </c>
    </row>
    <row r="1155" spans="1:18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>
        <f t="shared" si="36"/>
        <v>1</v>
      </c>
      <c r="R1155" t="str">
        <f t="shared" ref="R1155:R1218" si="37">IF(L1155&gt;$T1161,"Outlier","Normal")</f>
        <v>Normal</v>
      </c>
    </row>
    <row r="1156" spans="1:18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>
        <f t="shared" si="36"/>
        <v>1</v>
      </c>
      <c r="R1156" t="str">
        <f t="shared" si="37"/>
        <v>Normal</v>
      </c>
    </row>
    <row r="1157" spans="1:18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>
        <f t="shared" si="36"/>
        <v>1</v>
      </c>
      <c r="R1157" t="str">
        <f t="shared" si="37"/>
        <v>Normal</v>
      </c>
    </row>
    <row r="1158" spans="1:18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>
        <f t="shared" si="36"/>
        <v>1</v>
      </c>
      <c r="R1158" t="str">
        <f t="shared" si="37"/>
        <v>Normal</v>
      </c>
    </row>
    <row r="1159" spans="1:18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>
        <f t="shared" si="36"/>
        <v>1</v>
      </c>
      <c r="R1159" t="str">
        <f t="shared" si="37"/>
        <v>Normal</v>
      </c>
    </row>
    <row r="1160" spans="1:18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>
        <f t="shared" si="36"/>
        <v>1</v>
      </c>
      <c r="R1160" t="str">
        <f t="shared" si="37"/>
        <v>Normal</v>
      </c>
    </row>
    <row r="1161" spans="1:18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>
        <f t="shared" si="36"/>
        <v>1</v>
      </c>
      <c r="R1161" t="str">
        <f t="shared" si="37"/>
        <v>Normal</v>
      </c>
    </row>
    <row r="1162" spans="1:18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>
        <f t="shared" si="36"/>
        <v>1</v>
      </c>
      <c r="R1162" t="str">
        <f t="shared" si="37"/>
        <v>Normal</v>
      </c>
    </row>
    <row r="1163" spans="1:18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>
        <f t="shared" si="36"/>
        <v>1</v>
      </c>
      <c r="R1163" t="str">
        <f t="shared" si="37"/>
        <v>Normal</v>
      </c>
    </row>
    <row r="1164" spans="1:18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>
        <f t="shared" si="36"/>
        <v>1</v>
      </c>
      <c r="R1164" t="str">
        <f t="shared" si="37"/>
        <v>Normal</v>
      </c>
    </row>
    <row r="1165" spans="1:18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>
        <f t="shared" si="36"/>
        <v>1</v>
      </c>
      <c r="R1165" t="str">
        <f t="shared" si="37"/>
        <v>Normal</v>
      </c>
    </row>
    <row r="1166" spans="1:18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>
        <f t="shared" si="36"/>
        <v>1</v>
      </c>
      <c r="R1166" t="str">
        <f t="shared" si="37"/>
        <v>Normal</v>
      </c>
    </row>
    <row r="1167" spans="1:18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>
        <f t="shared" si="36"/>
        <v>1</v>
      </c>
      <c r="R1167" t="str">
        <f t="shared" si="37"/>
        <v>Normal</v>
      </c>
    </row>
    <row r="1168" spans="1:18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>
        <f t="shared" si="36"/>
        <v>1</v>
      </c>
      <c r="R1168" t="str">
        <f t="shared" si="37"/>
        <v>Normal</v>
      </c>
    </row>
    <row r="1169" spans="1:18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>
        <f t="shared" si="36"/>
        <v>1</v>
      </c>
      <c r="R1169" t="str">
        <f t="shared" si="37"/>
        <v>Outlier</v>
      </c>
    </row>
    <row r="1170" spans="1:18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>
        <f t="shared" si="36"/>
        <v>1</v>
      </c>
      <c r="R1170" t="str">
        <f t="shared" si="37"/>
        <v>Normal</v>
      </c>
    </row>
    <row r="1171" spans="1:18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>
        <f t="shared" si="36"/>
        <v>1</v>
      </c>
      <c r="R1171" t="str">
        <f t="shared" si="37"/>
        <v>Normal</v>
      </c>
    </row>
    <row r="1172" spans="1:18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>
        <f t="shared" si="36"/>
        <v>1</v>
      </c>
      <c r="R1172" t="str">
        <f t="shared" si="37"/>
        <v>Normal</v>
      </c>
    </row>
    <row r="1173" spans="1:18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>
        <f t="shared" si="36"/>
        <v>1</v>
      </c>
      <c r="R1173" t="str">
        <f t="shared" si="37"/>
        <v>Normal</v>
      </c>
    </row>
    <row r="1174" spans="1:18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>
        <f t="shared" si="36"/>
        <v>1</v>
      </c>
      <c r="R1174" t="str">
        <f t="shared" si="37"/>
        <v>Normal</v>
      </c>
    </row>
    <row r="1175" spans="1:18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>
        <f t="shared" si="36"/>
        <v>1</v>
      </c>
      <c r="R1175" t="str">
        <f t="shared" si="37"/>
        <v>Normal</v>
      </c>
    </row>
    <row r="1176" spans="1:18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>
        <f t="shared" si="36"/>
        <v>1</v>
      </c>
      <c r="R1176" t="str">
        <f t="shared" si="37"/>
        <v>Normal</v>
      </c>
    </row>
    <row r="1177" spans="1:18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>
        <f t="shared" si="36"/>
        <v>1</v>
      </c>
      <c r="R1177" t="str">
        <f t="shared" si="37"/>
        <v>Normal</v>
      </c>
    </row>
    <row r="1178" spans="1:18">
      <c r="A1178" t="s">
        <v>1209</v>
      </c>
      <c r="B1178" s="2">
        <v>45692</v>
      </c>
      <c r="C1178" t="s">
        <v>723</v>
      </c>
      <c r="D1178" t="s">
        <v>28</v>
      </c>
      <c r="E1178" t="s">
        <v>1479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>
        <f t="shared" si="36"/>
        <v>1</v>
      </c>
      <c r="R1178" t="str">
        <f t="shared" si="37"/>
        <v>Normal</v>
      </c>
    </row>
    <row r="1179" spans="1:18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>
        <f t="shared" si="36"/>
        <v>1</v>
      </c>
      <c r="R1179" t="str">
        <f t="shared" si="37"/>
        <v>Normal</v>
      </c>
    </row>
    <row r="1180" spans="1:18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>
        <f t="shared" si="36"/>
        <v>1</v>
      </c>
      <c r="R1180" t="str">
        <f t="shared" si="37"/>
        <v>Outlier</v>
      </c>
    </row>
    <row r="1181" spans="1:18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>
        <f t="shared" si="36"/>
        <v>1</v>
      </c>
      <c r="R1181" t="str">
        <f t="shared" si="37"/>
        <v>Normal</v>
      </c>
    </row>
    <row r="1182" spans="1:18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>
        <f t="shared" si="36"/>
        <v>1</v>
      </c>
      <c r="R1182" t="str">
        <f t="shared" si="37"/>
        <v>Normal</v>
      </c>
    </row>
    <row r="1183" spans="1:18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>
        <f t="shared" si="36"/>
        <v>1</v>
      </c>
      <c r="R1183" t="str">
        <f t="shared" si="37"/>
        <v>Normal</v>
      </c>
    </row>
    <row r="1184" spans="1:18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>
        <f t="shared" si="36"/>
        <v>1</v>
      </c>
      <c r="R1184" t="str">
        <f t="shared" si="37"/>
        <v>Normal</v>
      </c>
    </row>
    <row r="1185" spans="1:18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>
        <f t="shared" si="36"/>
        <v>1</v>
      </c>
      <c r="R1185" t="str">
        <f t="shared" si="37"/>
        <v>Normal</v>
      </c>
    </row>
    <row r="1186" spans="1:18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>
        <f t="shared" si="36"/>
        <v>1</v>
      </c>
      <c r="R1186" t="str">
        <f t="shared" si="37"/>
        <v>Normal</v>
      </c>
    </row>
    <row r="1187" spans="1:18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>
        <f t="shared" si="36"/>
        <v>1</v>
      </c>
      <c r="R1187" t="str">
        <f t="shared" si="37"/>
        <v>Normal</v>
      </c>
    </row>
    <row r="1188" spans="1:18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>
        <f t="shared" si="36"/>
        <v>1</v>
      </c>
      <c r="R1188" t="str">
        <f t="shared" si="37"/>
        <v>Normal</v>
      </c>
    </row>
    <row r="1189" spans="1:18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>
        <f t="shared" si="36"/>
        <v>1</v>
      </c>
      <c r="R1189" t="str">
        <f t="shared" si="37"/>
        <v>Normal</v>
      </c>
    </row>
    <row r="1190" spans="1:18">
      <c r="A1190" t="s">
        <v>1221</v>
      </c>
      <c r="B1190" s="2">
        <v>45763</v>
      </c>
      <c r="C1190" t="s">
        <v>723</v>
      </c>
      <c r="D1190" t="s">
        <v>28</v>
      </c>
      <c r="E1190" t="s">
        <v>1479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>
        <f t="shared" si="36"/>
        <v>1</v>
      </c>
      <c r="R1190" t="str">
        <f t="shared" si="37"/>
        <v>Normal</v>
      </c>
    </row>
    <row r="1191" spans="1:18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>
        <f t="shared" si="36"/>
        <v>1</v>
      </c>
      <c r="R1191" t="str">
        <f t="shared" si="37"/>
        <v>Normal</v>
      </c>
    </row>
    <row r="1192" spans="1:18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>
        <f t="shared" si="36"/>
        <v>1</v>
      </c>
      <c r="R1192" t="str">
        <f t="shared" si="37"/>
        <v>Normal</v>
      </c>
    </row>
    <row r="1193" spans="1:18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>
        <f t="shared" si="36"/>
        <v>1</v>
      </c>
      <c r="R1193" t="str">
        <f t="shared" si="37"/>
        <v>Normal</v>
      </c>
    </row>
    <row r="1194" spans="1:18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>
        <f t="shared" si="36"/>
        <v>1</v>
      </c>
      <c r="R1194" t="str">
        <f t="shared" si="37"/>
        <v>Normal</v>
      </c>
    </row>
    <row r="1195" spans="1:18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>
        <f t="shared" si="36"/>
        <v>1</v>
      </c>
      <c r="R1195" t="str">
        <f t="shared" si="37"/>
        <v>Normal</v>
      </c>
    </row>
    <row r="1196" spans="1:18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>
        <f t="shared" si="36"/>
        <v>1</v>
      </c>
      <c r="R1196" t="str">
        <f t="shared" si="37"/>
        <v>Normal</v>
      </c>
    </row>
    <row r="1197" spans="1:18">
      <c r="A1197" t="s">
        <v>1228</v>
      </c>
      <c r="B1197" s="2">
        <v>45710</v>
      </c>
      <c r="C1197" t="s">
        <v>723</v>
      </c>
      <c r="D1197" t="s">
        <v>18</v>
      </c>
      <c r="E1197" t="s">
        <v>1479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>
        <f t="shared" si="36"/>
        <v>1</v>
      </c>
      <c r="R1197" t="str">
        <f t="shared" si="37"/>
        <v>Normal</v>
      </c>
    </row>
    <row r="1198" spans="1:18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>
        <f t="shared" si="36"/>
        <v>1</v>
      </c>
      <c r="R1198" t="str">
        <f t="shared" si="37"/>
        <v>Normal</v>
      </c>
    </row>
    <row r="1199" spans="1:18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>
        <f t="shared" si="36"/>
        <v>1</v>
      </c>
      <c r="R1199" t="str">
        <f t="shared" si="37"/>
        <v>Normal</v>
      </c>
    </row>
    <row r="1200" spans="1:18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>
        <f t="shared" si="36"/>
        <v>1</v>
      </c>
      <c r="R1200" t="str">
        <f t="shared" si="37"/>
        <v>Normal</v>
      </c>
    </row>
    <row r="1201" spans="1:18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>
        <f t="shared" si="36"/>
        <v>1</v>
      </c>
      <c r="R1201" t="str">
        <f t="shared" si="37"/>
        <v>Normal</v>
      </c>
    </row>
    <row r="1202" spans="1:18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>
        <f t="shared" si="36"/>
        <v>1</v>
      </c>
      <c r="R1202" t="str">
        <f t="shared" si="37"/>
        <v>Normal</v>
      </c>
    </row>
    <row r="1203" spans="1:18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>
        <f t="shared" si="36"/>
        <v>1</v>
      </c>
      <c r="R1203" t="str">
        <f t="shared" si="37"/>
        <v>Normal</v>
      </c>
    </row>
    <row r="1204" spans="1:18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>
        <f t="shared" si="36"/>
        <v>1</v>
      </c>
      <c r="R1204" t="str">
        <f t="shared" si="37"/>
        <v>Normal</v>
      </c>
    </row>
    <row r="1205" spans="1:18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>
        <f t="shared" si="36"/>
        <v>1</v>
      </c>
      <c r="R1205" t="str">
        <f t="shared" si="37"/>
        <v>Normal</v>
      </c>
    </row>
    <row r="1206" spans="1:18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>
        <f t="shared" si="36"/>
        <v>1</v>
      </c>
      <c r="R1206" t="str">
        <f t="shared" si="37"/>
        <v>Normal</v>
      </c>
    </row>
    <row r="1207" spans="1:18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>
        <f t="shared" si="36"/>
        <v>1</v>
      </c>
      <c r="R1207" t="str">
        <f t="shared" si="37"/>
        <v>Normal</v>
      </c>
    </row>
    <row r="1208" spans="1:18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>
        <f t="shared" si="36"/>
        <v>1</v>
      </c>
      <c r="R1208" t="str">
        <f t="shared" si="37"/>
        <v>Normal</v>
      </c>
    </row>
    <row r="1209" spans="1:18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>
        <f t="shared" si="36"/>
        <v>1</v>
      </c>
      <c r="R1209" t="str">
        <f t="shared" si="37"/>
        <v>Normal</v>
      </c>
    </row>
    <row r="1210" spans="1:18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>
        <f t="shared" si="36"/>
        <v>1</v>
      </c>
      <c r="R1210" t="str">
        <f t="shared" si="37"/>
        <v>Normal</v>
      </c>
    </row>
    <row r="1211" spans="1:18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>
        <f t="shared" si="36"/>
        <v>1</v>
      </c>
      <c r="R1211" t="str">
        <f t="shared" si="37"/>
        <v>Normal</v>
      </c>
    </row>
    <row r="1212" spans="1:18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>
        <f t="shared" si="36"/>
        <v>1</v>
      </c>
      <c r="R1212" t="str">
        <f t="shared" si="37"/>
        <v>Normal</v>
      </c>
    </row>
    <row r="1213" spans="1:18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>
        <f t="shared" si="36"/>
        <v>1</v>
      </c>
      <c r="R1213" t="str">
        <f t="shared" si="37"/>
        <v>Normal</v>
      </c>
    </row>
    <row r="1214" spans="1:18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>
        <f t="shared" si="36"/>
        <v>1</v>
      </c>
      <c r="R1214" t="str">
        <f t="shared" si="37"/>
        <v>Normal</v>
      </c>
    </row>
    <row r="1215" spans="1:18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>
        <f t="shared" si="36"/>
        <v>1</v>
      </c>
      <c r="R1215" t="str">
        <f t="shared" si="37"/>
        <v>Normal</v>
      </c>
    </row>
    <row r="1216" spans="1:18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>
        <f t="shared" si="36"/>
        <v>1</v>
      </c>
      <c r="R1216" t="str">
        <f t="shared" si="37"/>
        <v>Normal</v>
      </c>
    </row>
    <row r="1217" spans="1:18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>
        <f t="shared" si="36"/>
        <v>1</v>
      </c>
      <c r="R1217" t="str">
        <f t="shared" si="37"/>
        <v>Normal</v>
      </c>
    </row>
    <row r="1218" spans="1:18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>
        <f t="shared" ref="Q1218:Q1281" si="38">COUNTIF($A1218:$A2625,A1218)</f>
        <v>1</v>
      </c>
      <c r="R1218" t="str">
        <f t="shared" si="37"/>
        <v>Normal</v>
      </c>
    </row>
    <row r="1219" spans="1:18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>
        <f t="shared" si="38"/>
        <v>1</v>
      </c>
      <c r="R1219" t="str">
        <f t="shared" ref="R1219:R1282" si="39">IF(L1219&gt;$T1225,"Outlier","Normal")</f>
        <v>Normal</v>
      </c>
    </row>
    <row r="1220" spans="1:18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>
        <f t="shared" si="38"/>
        <v>1</v>
      </c>
      <c r="R1220" t="str">
        <f t="shared" si="39"/>
        <v>Normal</v>
      </c>
    </row>
    <row r="1221" spans="1:18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>
        <f t="shared" si="38"/>
        <v>1</v>
      </c>
      <c r="R1221" t="str">
        <f t="shared" si="39"/>
        <v>Normal</v>
      </c>
    </row>
    <row r="1222" spans="1:18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>
        <f t="shared" si="38"/>
        <v>1</v>
      </c>
      <c r="R1222" t="str">
        <f t="shared" si="39"/>
        <v>Outlier</v>
      </c>
    </row>
    <row r="1223" spans="1:18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f t="shared" si="38"/>
        <v>1</v>
      </c>
      <c r="R1223" t="str">
        <f t="shared" si="39"/>
        <v>Outlier</v>
      </c>
    </row>
    <row r="1224" spans="1:18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>
        <f t="shared" si="38"/>
        <v>1</v>
      </c>
      <c r="R1224" t="str">
        <f t="shared" si="39"/>
        <v>Normal</v>
      </c>
    </row>
    <row r="1225" spans="1:18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>
        <f t="shared" si="38"/>
        <v>1</v>
      </c>
      <c r="R1225" t="str">
        <f t="shared" si="39"/>
        <v>Normal</v>
      </c>
    </row>
    <row r="1226" spans="1:18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>
        <f t="shared" si="38"/>
        <v>1</v>
      </c>
      <c r="R1226" t="str">
        <f t="shared" si="39"/>
        <v>Normal</v>
      </c>
    </row>
    <row r="1227" spans="1:18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>
        <f t="shared" si="38"/>
        <v>1</v>
      </c>
      <c r="R1227" t="str">
        <f t="shared" si="39"/>
        <v>Outlier</v>
      </c>
    </row>
    <row r="1228" spans="1:18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>
        <f t="shared" si="38"/>
        <v>1</v>
      </c>
      <c r="R1228" t="str">
        <f t="shared" si="39"/>
        <v>Normal</v>
      </c>
    </row>
    <row r="1229" spans="1:18">
      <c r="A1229" t="s">
        <v>1260</v>
      </c>
      <c r="B1229" s="2">
        <v>45739</v>
      </c>
      <c r="C1229" t="s">
        <v>723</v>
      </c>
      <c r="D1229" t="s">
        <v>28</v>
      </c>
      <c r="E1229" t="s">
        <v>1479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>
        <f t="shared" si="38"/>
        <v>1</v>
      </c>
      <c r="R1229" t="str">
        <f t="shared" si="39"/>
        <v>Normal</v>
      </c>
    </row>
    <row r="1230" spans="1:18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>
        <f t="shared" si="38"/>
        <v>1</v>
      </c>
      <c r="R1230" t="str">
        <f t="shared" si="39"/>
        <v>Normal</v>
      </c>
    </row>
    <row r="1231" spans="1:18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>
        <f t="shared" si="38"/>
        <v>1</v>
      </c>
      <c r="R1231" t="str">
        <f t="shared" si="39"/>
        <v>Normal</v>
      </c>
    </row>
    <row r="1232" spans="1:18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>
        <f t="shared" si="38"/>
        <v>1</v>
      </c>
      <c r="R1232" t="str">
        <f t="shared" si="39"/>
        <v>Normal</v>
      </c>
    </row>
    <row r="1233" spans="1:18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>
        <f t="shared" si="38"/>
        <v>1</v>
      </c>
      <c r="R1233" t="str">
        <f t="shared" si="39"/>
        <v>Normal</v>
      </c>
    </row>
    <row r="1234" spans="1:18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>
        <f t="shared" si="38"/>
        <v>1</v>
      </c>
      <c r="R1234" t="str">
        <f t="shared" si="39"/>
        <v>Normal</v>
      </c>
    </row>
    <row r="1235" spans="1:18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>
        <f t="shared" si="38"/>
        <v>1</v>
      </c>
      <c r="R1235" t="str">
        <f t="shared" si="39"/>
        <v>Normal</v>
      </c>
    </row>
    <row r="1236" spans="1:18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>
        <f t="shared" si="38"/>
        <v>1</v>
      </c>
      <c r="R1236" t="str">
        <f t="shared" si="39"/>
        <v>Normal</v>
      </c>
    </row>
    <row r="1237" spans="1:18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1479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>
        <f t="shared" si="38"/>
        <v>1</v>
      </c>
      <c r="R1237" t="str">
        <f t="shared" si="39"/>
        <v>Normal</v>
      </c>
    </row>
    <row r="1238" spans="1:18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f t="shared" si="38"/>
        <v>1</v>
      </c>
      <c r="R1238" t="str">
        <f t="shared" si="39"/>
        <v>Outlier</v>
      </c>
    </row>
    <row r="1239" spans="1:18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>
        <f t="shared" si="38"/>
        <v>1</v>
      </c>
      <c r="R1239" t="str">
        <f t="shared" si="39"/>
        <v>Normal</v>
      </c>
    </row>
    <row r="1240" spans="1:18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>
        <f t="shared" si="38"/>
        <v>1</v>
      </c>
      <c r="R1240" t="str">
        <f t="shared" si="39"/>
        <v>Normal</v>
      </c>
    </row>
    <row r="1241" spans="1:18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1479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>
        <f t="shared" si="38"/>
        <v>1</v>
      </c>
      <c r="R1241" t="str">
        <f t="shared" si="39"/>
        <v>Normal</v>
      </c>
    </row>
    <row r="1242" spans="1:18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>
        <f t="shared" si="38"/>
        <v>1</v>
      </c>
      <c r="R1242" t="str">
        <f t="shared" si="39"/>
        <v>Normal</v>
      </c>
    </row>
    <row r="1243" spans="1:18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>
        <f t="shared" si="38"/>
        <v>1</v>
      </c>
      <c r="R1243" t="str">
        <f t="shared" si="39"/>
        <v>Normal</v>
      </c>
    </row>
    <row r="1244" spans="1:18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>
        <f t="shared" si="38"/>
        <v>1</v>
      </c>
      <c r="R1244" t="str">
        <f t="shared" si="39"/>
        <v>Normal</v>
      </c>
    </row>
    <row r="1245" spans="1:18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>
        <f t="shared" si="38"/>
        <v>1</v>
      </c>
      <c r="R1245" t="str">
        <f t="shared" si="39"/>
        <v>Normal</v>
      </c>
    </row>
    <row r="1246" spans="1:18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>
        <f t="shared" si="38"/>
        <v>1</v>
      </c>
      <c r="R1246" t="str">
        <f t="shared" si="39"/>
        <v>Normal</v>
      </c>
    </row>
    <row r="1247" spans="1:18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>
        <f t="shared" si="38"/>
        <v>1</v>
      </c>
      <c r="R1247" t="str">
        <f t="shared" si="39"/>
        <v>Normal</v>
      </c>
    </row>
    <row r="1248" spans="1:18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>
        <f t="shared" si="38"/>
        <v>1</v>
      </c>
      <c r="R1248" t="str">
        <f t="shared" si="39"/>
        <v>Normal</v>
      </c>
    </row>
    <row r="1249" spans="1:18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>
        <f t="shared" si="38"/>
        <v>1</v>
      </c>
      <c r="R1249" t="str">
        <f t="shared" si="39"/>
        <v>Normal</v>
      </c>
    </row>
    <row r="1250" spans="1:18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>
        <f t="shared" si="38"/>
        <v>1</v>
      </c>
      <c r="R1250" t="str">
        <f t="shared" si="39"/>
        <v>Normal</v>
      </c>
    </row>
    <row r="1251" spans="1:18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>
        <f t="shared" si="38"/>
        <v>1</v>
      </c>
      <c r="R1251" t="str">
        <f t="shared" si="39"/>
        <v>Normal</v>
      </c>
    </row>
    <row r="1252" spans="1:18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>
        <f t="shared" si="38"/>
        <v>1</v>
      </c>
      <c r="R1252" t="str">
        <f t="shared" si="39"/>
        <v>Outlier</v>
      </c>
    </row>
    <row r="1253" spans="1:18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>
        <f t="shared" si="38"/>
        <v>1</v>
      </c>
      <c r="R1253" t="str">
        <f t="shared" si="39"/>
        <v>Normal</v>
      </c>
    </row>
    <row r="1254" spans="1:18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>
        <f t="shared" si="38"/>
        <v>1</v>
      </c>
      <c r="R1254" t="str">
        <f t="shared" si="39"/>
        <v>Normal</v>
      </c>
    </row>
    <row r="1255" spans="1:18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>
        <f t="shared" si="38"/>
        <v>1</v>
      </c>
      <c r="R1255" t="str">
        <f t="shared" si="39"/>
        <v>Normal</v>
      </c>
    </row>
    <row r="1256" spans="1:18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>
        <f t="shared" si="38"/>
        <v>1</v>
      </c>
      <c r="R1256" t="str">
        <f t="shared" si="39"/>
        <v>Normal</v>
      </c>
    </row>
    <row r="1257" spans="1:18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1479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f t="shared" si="38"/>
        <v>1</v>
      </c>
      <c r="R1257" t="str">
        <f t="shared" si="39"/>
        <v>Outlier</v>
      </c>
    </row>
    <row r="1258" spans="1:18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>
        <f t="shared" si="38"/>
        <v>1</v>
      </c>
      <c r="R1258" t="str">
        <f t="shared" si="39"/>
        <v>Normal</v>
      </c>
    </row>
    <row r="1259" spans="1:18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>
        <f t="shared" si="38"/>
        <v>1</v>
      </c>
      <c r="R1259" t="str">
        <f t="shared" si="39"/>
        <v>Normal</v>
      </c>
    </row>
    <row r="1260" spans="1:18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>
        <f t="shared" si="38"/>
        <v>1</v>
      </c>
      <c r="R1260" t="str">
        <f t="shared" si="39"/>
        <v>Normal</v>
      </c>
    </row>
    <row r="1261" spans="1:18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>
        <f t="shared" si="38"/>
        <v>1</v>
      </c>
      <c r="R1261" t="str">
        <f t="shared" si="39"/>
        <v>Normal</v>
      </c>
    </row>
    <row r="1262" spans="1:18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>
        <f t="shared" si="38"/>
        <v>1</v>
      </c>
      <c r="R1262" t="str">
        <f t="shared" si="39"/>
        <v>Normal</v>
      </c>
    </row>
    <row r="1263" spans="1:18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>
        <f t="shared" si="38"/>
        <v>1</v>
      </c>
      <c r="R1263" t="str">
        <f t="shared" si="39"/>
        <v>Normal</v>
      </c>
    </row>
    <row r="1264" spans="1:18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>
        <f t="shared" si="38"/>
        <v>1</v>
      </c>
      <c r="R1264" t="str">
        <f t="shared" si="39"/>
        <v>Normal</v>
      </c>
    </row>
    <row r="1265" spans="1:18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>
        <f t="shared" si="38"/>
        <v>1</v>
      </c>
      <c r="R1265" t="str">
        <f t="shared" si="39"/>
        <v>Normal</v>
      </c>
    </row>
    <row r="1266" spans="1:18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>
        <f t="shared" si="38"/>
        <v>1</v>
      </c>
      <c r="R1266" t="str">
        <f t="shared" si="39"/>
        <v>Normal</v>
      </c>
    </row>
    <row r="1267" spans="1:18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>
        <f t="shared" si="38"/>
        <v>1</v>
      </c>
      <c r="R1267" t="str">
        <f t="shared" si="39"/>
        <v>Normal</v>
      </c>
    </row>
    <row r="1268" spans="1:18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>
        <f t="shared" si="38"/>
        <v>1</v>
      </c>
      <c r="R1268" t="str">
        <f t="shared" si="39"/>
        <v>Normal</v>
      </c>
    </row>
    <row r="1269" spans="1:18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>
        <f t="shared" si="38"/>
        <v>1</v>
      </c>
      <c r="R1269" t="str">
        <f t="shared" si="39"/>
        <v>Normal</v>
      </c>
    </row>
    <row r="1270" spans="1:18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>
        <f t="shared" si="38"/>
        <v>1</v>
      </c>
      <c r="R1270" t="str">
        <f t="shared" si="39"/>
        <v>Normal</v>
      </c>
    </row>
    <row r="1271" spans="1:18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>
        <f t="shared" si="38"/>
        <v>1</v>
      </c>
      <c r="R1271" t="str">
        <f t="shared" si="39"/>
        <v>Normal</v>
      </c>
    </row>
    <row r="1272" spans="1:18">
      <c r="A1272" t="s">
        <v>1303</v>
      </c>
      <c r="B1272" s="2">
        <v>45691</v>
      </c>
      <c r="C1272" t="s">
        <v>723</v>
      </c>
      <c r="D1272" t="s">
        <v>23</v>
      </c>
      <c r="E1272" t="s">
        <v>1479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>
        <f t="shared" si="38"/>
        <v>1</v>
      </c>
      <c r="R1272" t="str">
        <f t="shared" si="39"/>
        <v>Normal</v>
      </c>
    </row>
    <row r="1273" spans="1:18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>
        <f t="shared" si="38"/>
        <v>1</v>
      </c>
      <c r="R1273" t="str">
        <f t="shared" si="39"/>
        <v>Normal</v>
      </c>
    </row>
    <row r="1274" spans="1:18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>
        <f t="shared" si="38"/>
        <v>1</v>
      </c>
      <c r="R1274" t="str">
        <f t="shared" si="39"/>
        <v>Normal</v>
      </c>
    </row>
    <row r="1275" spans="1:18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>
        <f t="shared" si="38"/>
        <v>1</v>
      </c>
      <c r="R1275" t="str">
        <f t="shared" si="39"/>
        <v>Normal</v>
      </c>
    </row>
    <row r="1276" spans="1:18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>
        <f t="shared" si="38"/>
        <v>1</v>
      </c>
      <c r="R1276" t="str">
        <f t="shared" si="39"/>
        <v>Normal</v>
      </c>
    </row>
    <row r="1277" spans="1:18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>
        <f t="shared" si="38"/>
        <v>1</v>
      </c>
      <c r="R1277" t="str">
        <f t="shared" si="39"/>
        <v>Normal</v>
      </c>
    </row>
    <row r="1278" spans="1:18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>
        <f t="shared" si="38"/>
        <v>1</v>
      </c>
      <c r="R1278" t="str">
        <f t="shared" si="39"/>
        <v>Normal</v>
      </c>
    </row>
    <row r="1279" spans="1:18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>
        <f t="shared" si="38"/>
        <v>1</v>
      </c>
      <c r="R1279" t="str">
        <f t="shared" si="39"/>
        <v>Normal</v>
      </c>
    </row>
    <row r="1280" spans="1:18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>
        <f t="shared" si="38"/>
        <v>1</v>
      </c>
      <c r="R1280" t="str">
        <f t="shared" si="39"/>
        <v>Normal</v>
      </c>
    </row>
    <row r="1281" spans="1:18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>
        <f t="shared" si="38"/>
        <v>1</v>
      </c>
      <c r="R1281" t="str">
        <f t="shared" si="39"/>
        <v>Normal</v>
      </c>
    </row>
    <row r="1282" spans="1:18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>
        <f t="shared" ref="Q1282:Q1345" si="40">COUNTIF($A1282:$A2689,A1282)</f>
        <v>1</v>
      </c>
      <c r="R1282" t="str">
        <f t="shared" si="39"/>
        <v>Normal</v>
      </c>
    </row>
    <row r="1283" spans="1:18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>
        <f t="shared" si="40"/>
        <v>1</v>
      </c>
      <c r="R1283" t="str">
        <f t="shared" ref="R1283:R1346" si="41">IF(L1283&gt;$T1289,"Outlier","Normal")</f>
        <v>Normal</v>
      </c>
    </row>
    <row r="1284" spans="1:18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>
        <f t="shared" si="40"/>
        <v>1</v>
      </c>
      <c r="R1284" t="str">
        <f t="shared" si="41"/>
        <v>Normal</v>
      </c>
    </row>
    <row r="1285" spans="1:18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>
        <f t="shared" si="40"/>
        <v>1</v>
      </c>
      <c r="R1285" t="str">
        <f t="shared" si="41"/>
        <v>Normal</v>
      </c>
    </row>
    <row r="1286" spans="1:18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>
        <f t="shared" si="40"/>
        <v>1</v>
      </c>
      <c r="R1286" t="str">
        <f t="shared" si="41"/>
        <v>Normal</v>
      </c>
    </row>
    <row r="1287" spans="1:18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>
        <f t="shared" si="40"/>
        <v>1</v>
      </c>
      <c r="R1287" t="str">
        <f t="shared" si="41"/>
        <v>Normal</v>
      </c>
    </row>
    <row r="1288" spans="1:18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>
        <f t="shared" si="40"/>
        <v>1</v>
      </c>
      <c r="R1288" t="str">
        <f t="shared" si="41"/>
        <v>Normal</v>
      </c>
    </row>
    <row r="1289" spans="1:18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>
        <f t="shared" si="40"/>
        <v>1</v>
      </c>
      <c r="R1289" t="str">
        <f t="shared" si="41"/>
        <v>Normal</v>
      </c>
    </row>
    <row r="1290" spans="1:18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>
        <f t="shared" si="40"/>
        <v>1</v>
      </c>
      <c r="R1290" t="str">
        <f t="shared" si="41"/>
        <v>Normal</v>
      </c>
    </row>
    <row r="1291" spans="1:18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>
        <f t="shared" si="40"/>
        <v>1</v>
      </c>
      <c r="R1291" t="str">
        <f t="shared" si="41"/>
        <v>Normal</v>
      </c>
    </row>
    <row r="1292" spans="1:18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>
        <f t="shared" si="40"/>
        <v>1</v>
      </c>
      <c r="R1292" t="str">
        <f t="shared" si="41"/>
        <v>Normal</v>
      </c>
    </row>
    <row r="1293" spans="1:18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>
        <f t="shared" si="40"/>
        <v>1</v>
      </c>
      <c r="R1293" t="str">
        <f t="shared" si="41"/>
        <v>Normal</v>
      </c>
    </row>
    <row r="1294" spans="1:18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>
        <f t="shared" si="40"/>
        <v>1</v>
      </c>
      <c r="R1294" t="str">
        <f t="shared" si="41"/>
        <v>Normal</v>
      </c>
    </row>
    <row r="1295" spans="1:18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>
        <f t="shared" si="40"/>
        <v>1</v>
      </c>
      <c r="R1295" t="str">
        <f t="shared" si="41"/>
        <v>Normal</v>
      </c>
    </row>
    <row r="1296" spans="1:18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>
        <f t="shared" si="40"/>
        <v>1</v>
      </c>
      <c r="R1296" t="str">
        <f t="shared" si="41"/>
        <v>Normal</v>
      </c>
    </row>
    <row r="1297" spans="1:18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>
        <f t="shared" si="40"/>
        <v>1</v>
      </c>
      <c r="R1297" t="str">
        <f t="shared" si="41"/>
        <v>Normal</v>
      </c>
    </row>
    <row r="1298" spans="1:18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f t="shared" si="40"/>
        <v>1</v>
      </c>
      <c r="R1298" t="str">
        <f t="shared" si="41"/>
        <v>Outlier</v>
      </c>
    </row>
    <row r="1299" spans="1:18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>
        <f t="shared" si="40"/>
        <v>1</v>
      </c>
      <c r="R1299" t="str">
        <f t="shared" si="41"/>
        <v>Normal</v>
      </c>
    </row>
    <row r="1300" spans="1:18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>
        <f t="shared" si="40"/>
        <v>1</v>
      </c>
      <c r="R1300" t="str">
        <f t="shared" si="41"/>
        <v>Normal</v>
      </c>
    </row>
    <row r="1301" spans="1:18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>
        <f t="shared" si="40"/>
        <v>1</v>
      </c>
      <c r="R1301" t="str">
        <f t="shared" si="41"/>
        <v>Normal</v>
      </c>
    </row>
    <row r="1302" spans="1:18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>
        <f t="shared" si="40"/>
        <v>1</v>
      </c>
      <c r="R1302" t="str">
        <f t="shared" si="41"/>
        <v>Normal</v>
      </c>
    </row>
    <row r="1303" spans="1:18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>
        <f t="shared" si="40"/>
        <v>1</v>
      </c>
      <c r="R1303" t="str">
        <f t="shared" si="41"/>
        <v>Normal</v>
      </c>
    </row>
    <row r="1304" spans="1:18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>
        <f t="shared" si="40"/>
        <v>1</v>
      </c>
      <c r="R1304" t="str">
        <f t="shared" si="41"/>
        <v>Normal</v>
      </c>
    </row>
    <row r="1305" spans="1:18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>
        <f t="shared" si="40"/>
        <v>1</v>
      </c>
      <c r="R1305" t="str">
        <f t="shared" si="41"/>
        <v>Normal</v>
      </c>
    </row>
    <row r="1306" spans="1:18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>
        <f t="shared" si="40"/>
        <v>1</v>
      </c>
      <c r="R1306" t="str">
        <f t="shared" si="41"/>
        <v>Normal</v>
      </c>
    </row>
    <row r="1307" spans="1:18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>
        <f t="shared" si="40"/>
        <v>1</v>
      </c>
      <c r="R1307" t="str">
        <f t="shared" si="41"/>
        <v>Normal</v>
      </c>
    </row>
    <row r="1308" spans="1:18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>
        <f t="shared" si="40"/>
        <v>1</v>
      </c>
      <c r="R1308" t="str">
        <f t="shared" si="41"/>
        <v>Normal</v>
      </c>
    </row>
    <row r="1309" spans="1:18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>
        <f t="shared" si="40"/>
        <v>1</v>
      </c>
      <c r="R1309" t="str">
        <f t="shared" si="41"/>
        <v>Normal</v>
      </c>
    </row>
    <row r="1310" spans="1:18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>
        <f t="shared" si="40"/>
        <v>1</v>
      </c>
      <c r="R1310" t="str">
        <f t="shared" si="41"/>
        <v>Normal</v>
      </c>
    </row>
    <row r="1311" spans="1:18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>
        <f t="shared" si="40"/>
        <v>1</v>
      </c>
      <c r="R1311" t="str">
        <f t="shared" si="41"/>
        <v>Normal</v>
      </c>
    </row>
    <row r="1312" spans="1:18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f t="shared" si="40"/>
        <v>1</v>
      </c>
      <c r="R1312" t="str">
        <f t="shared" si="41"/>
        <v>Outlier</v>
      </c>
    </row>
    <row r="1313" spans="1:18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>
        <f t="shared" si="40"/>
        <v>1</v>
      </c>
      <c r="R1313" t="str">
        <f t="shared" si="41"/>
        <v>Normal</v>
      </c>
    </row>
    <row r="1314" spans="1:18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>
        <f t="shared" si="40"/>
        <v>1</v>
      </c>
      <c r="R1314" t="str">
        <f t="shared" si="41"/>
        <v>Normal</v>
      </c>
    </row>
    <row r="1315" spans="1:18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>
        <f t="shared" si="40"/>
        <v>1</v>
      </c>
      <c r="R1315" t="str">
        <f t="shared" si="41"/>
        <v>Normal</v>
      </c>
    </row>
    <row r="1316" spans="1:18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1479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>
        <f t="shared" si="40"/>
        <v>1</v>
      </c>
      <c r="R1316" t="str">
        <f t="shared" si="41"/>
        <v>Normal</v>
      </c>
    </row>
    <row r="1317" spans="1:18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>
        <f t="shared" si="40"/>
        <v>1</v>
      </c>
      <c r="R1317" t="str">
        <f t="shared" si="41"/>
        <v>Normal</v>
      </c>
    </row>
    <row r="1318" spans="1:18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>
        <f t="shared" si="40"/>
        <v>1</v>
      </c>
      <c r="R1318" t="str">
        <f t="shared" si="41"/>
        <v>Normal</v>
      </c>
    </row>
    <row r="1319" spans="1:18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>
        <f t="shared" si="40"/>
        <v>1</v>
      </c>
      <c r="R1319" t="str">
        <f t="shared" si="41"/>
        <v>Normal</v>
      </c>
    </row>
    <row r="1320" spans="1:18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>
        <f t="shared" si="40"/>
        <v>1</v>
      </c>
      <c r="R1320" t="str">
        <f t="shared" si="41"/>
        <v>Outlier</v>
      </c>
    </row>
    <row r="1321" spans="1:18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>
        <f t="shared" si="40"/>
        <v>1</v>
      </c>
      <c r="R1321" t="str">
        <f t="shared" si="41"/>
        <v>Normal</v>
      </c>
    </row>
    <row r="1322" spans="1:18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>
        <f t="shared" si="40"/>
        <v>1</v>
      </c>
      <c r="R1322" t="str">
        <f t="shared" si="41"/>
        <v>Normal</v>
      </c>
    </row>
    <row r="1323" spans="1:18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>
        <f t="shared" si="40"/>
        <v>1</v>
      </c>
      <c r="R1323" t="str">
        <f t="shared" si="41"/>
        <v>Outlier</v>
      </c>
    </row>
    <row r="1324" spans="1:18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>
        <f t="shared" si="40"/>
        <v>1</v>
      </c>
      <c r="R1324" t="str">
        <f t="shared" si="41"/>
        <v>Normal</v>
      </c>
    </row>
    <row r="1325" spans="1:18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>
        <f t="shared" si="40"/>
        <v>1</v>
      </c>
      <c r="R1325" t="str">
        <f t="shared" si="41"/>
        <v>Normal</v>
      </c>
    </row>
    <row r="1326" spans="1:18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>
        <f t="shared" si="40"/>
        <v>1</v>
      </c>
      <c r="R1326" t="str">
        <f t="shared" si="41"/>
        <v>Normal</v>
      </c>
    </row>
    <row r="1327" spans="1:18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>
        <f t="shared" si="40"/>
        <v>1</v>
      </c>
      <c r="R1327" t="str">
        <f t="shared" si="41"/>
        <v>Normal</v>
      </c>
    </row>
    <row r="1328" spans="1:18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>
        <f t="shared" si="40"/>
        <v>1</v>
      </c>
      <c r="R1328" t="str">
        <f t="shared" si="41"/>
        <v>Normal</v>
      </c>
    </row>
    <row r="1329" spans="1:18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1479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>
        <f t="shared" si="40"/>
        <v>1</v>
      </c>
      <c r="R1329" t="str">
        <f t="shared" si="41"/>
        <v>Normal</v>
      </c>
    </row>
    <row r="1330" spans="1:18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>
        <f t="shared" si="40"/>
        <v>1</v>
      </c>
      <c r="R1330" t="str">
        <f t="shared" si="41"/>
        <v>Normal</v>
      </c>
    </row>
    <row r="1331" spans="1:18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>
        <f t="shared" si="40"/>
        <v>1</v>
      </c>
      <c r="R1331" t="str">
        <f t="shared" si="41"/>
        <v>Normal</v>
      </c>
    </row>
    <row r="1332" spans="1:18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>
        <f t="shared" si="40"/>
        <v>1</v>
      </c>
      <c r="R1332" t="str">
        <f t="shared" si="41"/>
        <v>Normal</v>
      </c>
    </row>
    <row r="1333" spans="1:18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>
        <f t="shared" si="40"/>
        <v>1</v>
      </c>
      <c r="R1333" t="str">
        <f t="shared" si="41"/>
        <v>Normal</v>
      </c>
    </row>
    <row r="1334" spans="1:18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>
        <f t="shared" si="40"/>
        <v>1</v>
      </c>
      <c r="R1334" t="str">
        <f t="shared" si="41"/>
        <v>Normal</v>
      </c>
    </row>
    <row r="1335" spans="1:18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>
        <f t="shared" si="40"/>
        <v>1</v>
      </c>
      <c r="R1335" t="str">
        <f t="shared" si="41"/>
        <v>Normal</v>
      </c>
    </row>
    <row r="1336" spans="1:18">
      <c r="A1336" t="s">
        <v>1367</v>
      </c>
      <c r="B1336" s="2">
        <v>45763</v>
      </c>
      <c r="C1336" t="s">
        <v>723</v>
      </c>
      <c r="D1336" t="s">
        <v>32</v>
      </c>
      <c r="E1336" t="s">
        <v>1479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>
        <f t="shared" si="40"/>
        <v>1</v>
      </c>
      <c r="R1336" t="str">
        <f t="shared" si="41"/>
        <v>Normal</v>
      </c>
    </row>
    <row r="1337" spans="1:18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>
        <f t="shared" si="40"/>
        <v>1</v>
      </c>
      <c r="R1337" t="str">
        <f t="shared" si="41"/>
        <v>Normal</v>
      </c>
    </row>
    <row r="1338" spans="1:18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>
        <f t="shared" si="40"/>
        <v>1</v>
      </c>
      <c r="R1338" t="str">
        <f t="shared" si="41"/>
        <v>Normal</v>
      </c>
    </row>
    <row r="1339" spans="1:18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>
        <f t="shared" si="40"/>
        <v>1</v>
      </c>
      <c r="R1339" t="str">
        <f t="shared" si="41"/>
        <v>Normal</v>
      </c>
    </row>
    <row r="1340" spans="1:18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>
        <f t="shared" si="40"/>
        <v>1</v>
      </c>
      <c r="R1340" t="str">
        <f t="shared" si="41"/>
        <v>Normal</v>
      </c>
    </row>
    <row r="1341" spans="1:18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>
        <f t="shared" si="40"/>
        <v>1</v>
      </c>
      <c r="R1341" t="str">
        <f t="shared" si="41"/>
        <v>Normal</v>
      </c>
    </row>
    <row r="1342" spans="1:18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>
        <f t="shared" si="40"/>
        <v>1</v>
      </c>
      <c r="R1342" t="str">
        <f t="shared" si="41"/>
        <v>Normal</v>
      </c>
    </row>
    <row r="1343" spans="1:18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>
        <f t="shared" si="40"/>
        <v>1</v>
      </c>
      <c r="R1343" t="str">
        <f t="shared" si="41"/>
        <v>Normal</v>
      </c>
    </row>
    <row r="1344" spans="1:18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>
        <f t="shared" si="40"/>
        <v>1</v>
      </c>
      <c r="R1344" t="str">
        <f t="shared" si="41"/>
        <v>Normal</v>
      </c>
    </row>
    <row r="1345" spans="1:18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>
        <f t="shared" si="40"/>
        <v>1</v>
      </c>
      <c r="R1345" t="str">
        <f t="shared" si="41"/>
        <v>Normal</v>
      </c>
    </row>
    <row r="1346" spans="1:18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>
        <f t="shared" ref="Q1346:Q1401" si="42">COUNTIF($A1346:$A2753,A1346)</f>
        <v>1</v>
      </c>
      <c r="R1346" t="str">
        <f t="shared" si="41"/>
        <v>Normal</v>
      </c>
    </row>
    <row r="1347" spans="1:18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>
        <f t="shared" si="42"/>
        <v>1</v>
      </c>
      <c r="R1347" t="str">
        <f t="shared" ref="R1347:R1401" si="43">IF(L1347&gt;$T1353,"Outlier","Normal")</f>
        <v>Normal</v>
      </c>
    </row>
    <row r="1348" spans="1:18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>
        <f t="shared" si="42"/>
        <v>1</v>
      </c>
      <c r="R1348" t="str">
        <f t="shared" si="43"/>
        <v>Normal</v>
      </c>
    </row>
    <row r="1349" spans="1:18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>
        <f t="shared" si="42"/>
        <v>1</v>
      </c>
      <c r="R1349" t="str">
        <f t="shared" si="43"/>
        <v>Normal</v>
      </c>
    </row>
    <row r="1350" spans="1:18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>
        <f t="shared" si="42"/>
        <v>1</v>
      </c>
      <c r="R1350" t="str">
        <f t="shared" si="43"/>
        <v>Normal</v>
      </c>
    </row>
    <row r="1351" spans="1:18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>
        <f t="shared" si="42"/>
        <v>1</v>
      </c>
      <c r="R1351" t="str">
        <f t="shared" si="43"/>
        <v>Outlier</v>
      </c>
    </row>
    <row r="1352" spans="1:18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>
        <f t="shared" si="42"/>
        <v>1</v>
      </c>
      <c r="R1352" t="str">
        <f t="shared" si="43"/>
        <v>Normal</v>
      </c>
    </row>
    <row r="1353" spans="1:18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>
        <f t="shared" si="42"/>
        <v>1</v>
      </c>
      <c r="R1353" t="str">
        <f t="shared" si="43"/>
        <v>Normal</v>
      </c>
    </row>
    <row r="1354" spans="1:18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>
        <f t="shared" si="42"/>
        <v>1</v>
      </c>
      <c r="R1354" t="str">
        <f t="shared" si="43"/>
        <v>Normal</v>
      </c>
    </row>
    <row r="1355" spans="1:18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>
        <f t="shared" si="42"/>
        <v>1</v>
      </c>
      <c r="R1355" t="str">
        <f t="shared" si="43"/>
        <v>Normal</v>
      </c>
    </row>
    <row r="1356" spans="1:18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>
        <f t="shared" si="42"/>
        <v>1</v>
      </c>
      <c r="R1356" t="str">
        <f t="shared" si="43"/>
        <v>Normal</v>
      </c>
    </row>
    <row r="1357" spans="1:18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1479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>
        <f t="shared" si="42"/>
        <v>1</v>
      </c>
      <c r="R1357" t="str">
        <f t="shared" si="43"/>
        <v>Normal</v>
      </c>
    </row>
    <row r="1358" spans="1:18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>
        <f t="shared" si="42"/>
        <v>1</v>
      </c>
      <c r="R1358" t="str">
        <f t="shared" si="43"/>
        <v>Normal</v>
      </c>
    </row>
    <row r="1359" spans="1:18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>
        <f t="shared" si="42"/>
        <v>1</v>
      </c>
      <c r="R1359" t="str">
        <f t="shared" si="43"/>
        <v>Normal</v>
      </c>
    </row>
    <row r="1360" spans="1:18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>
        <f t="shared" si="42"/>
        <v>1</v>
      </c>
      <c r="R1360" t="str">
        <f t="shared" si="43"/>
        <v>Normal</v>
      </c>
    </row>
    <row r="1361" spans="1:18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>
        <f t="shared" si="42"/>
        <v>1</v>
      </c>
      <c r="R1361" t="str">
        <f t="shared" si="43"/>
        <v>Normal</v>
      </c>
    </row>
    <row r="1362" spans="1:18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>
        <f t="shared" si="42"/>
        <v>1</v>
      </c>
      <c r="R1362" t="str">
        <f t="shared" si="43"/>
        <v>Normal</v>
      </c>
    </row>
    <row r="1363" spans="1:18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>
        <f t="shared" si="42"/>
        <v>1</v>
      </c>
      <c r="R1363" t="str">
        <f t="shared" si="43"/>
        <v>Normal</v>
      </c>
    </row>
    <row r="1364" spans="1:18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>
        <f t="shared" si="42"/>
        <v>1</v>
      </c>
      <c r="R1364" t="str">
        <f t="shared" si="43"/>
        <v>Normal</v>
      </c>
    </row>
    <row r="1365" spans="1:18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>
        <f t="shared" si="42"/>
        <v>1</v>
      </c>
      <c r="R1365" t="str">
        <f t="shared" si="43"/>
        <v>Normal</v>
      </c>
    </row>
    <row r="1366" spans="1:18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>
        <f t="shared" si="42"/>
        <v>1</v>
      </c>
      <c r="R1366" t="str">
        <f t="shared" si="43"/>
        <v>Normal</v>
      </c>
    </row>
    <row r="1367" spans="1:18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>
        <f t="shared" si="42"/>
        <v>1</v>
      </c>
      <c r="R1367" t="str">
        <f t="shared" si="43"/>
        <v>Normal</v>
      </c>
    </row>
    <row r="1368" spans="1:18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>
        <f t="shared" si="42"/>
        <v>1</v>
      </c>
      <c r="R1368" t="str">
        <f t="shared" si="43"/>
        <v>Normal</v>
      </c>
    </row>
    <row r="1369" spans="1:18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>
        <f t="shared" si="42"/>
        <v>1</v>
      </c>
      <c r="R1369" t="str">
        <f t="shared" si="43"/>
        <v>Normal</v>
      </c>
    </row>
    <row r="1370" spans="1:18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>
        <f t="shared" si="42"/>
        <v>1</v>
      </c>
      <c r="R1370" t="str">
        <f t="shared" si="43"/>
        <v>Normal</v>
      </c>
    </row>
    <row r="1371" spans="1:18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>
        <f t="shared" si="42"/>
        <v>1</v>
      </c>
      <c r="R1371" t="str">
        <f t="shared" si="43"/>
        <v>Normal</v>
      </c>
    </row>
    <row r="1372" spans="1:18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>
        <f t="shared" si="42"/>
        <v>1</v>
      </c>
      <c r="R1372" t="str">
        <f t="shared" si="43"/>
        <v>Normal</v>
      </c>
    </row>
    <row r="1373" spans="1:18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>
        <f t="shared" si="42"/>
        <v>1</v>
      </c>
      <c r="R1373" t="str">
        <f t="shared" si="43"/>
        <v>Normal</v>
      </c>
    </row>
    <row r="1374" spans="1:18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>
        <f t="shared" si="42"/>
        <v>1</v>
      </c>
      <c r="R1374" t="str">
        <f t="shared" si="43"/>
        <v>Normal</v>
      </c>
    </row>
    <row r="1375" spans="1:18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>
        <f t="shared" si="42"/>
        <v>1</v>
      </c>
      <c r="R1375" t="str">
        <f t="shared" si="43"/>
        <v>Normal</v>
      </c>
    </row>
    <row r="1376" spans="1:18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>
        <f t="shared" si="42"/>
        <v>1</v>
      </c>
      <c r="R1376" t="str">
        <f t="shared" si="43"/>
        <v>Normal</v>
      </c>
    </row>
    <row r="1377" spans="1:18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>
        <f t="shared" si="42"/>
        <v>1</v>
      </c>
      <c r="R1377" t="str">
        <f t="shared" si="43"/>
        <v>Normal</v>
      </c>
    </row>
    <row r="1378" spans="1:18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>
        <f t="shared" si="42"/>
        <v>1</v>
      </c>
      <c r="R1378" t="str">
        <f t="shared" si="43"/>
        <v>Normal</v>
      </c>
    </row>
    <row r="1379" spans="1:18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>
        <f t="shared" si="42"/>
        <v>1</v>
      </c>
      <c r="R1379" t="str">
        <f t="shared" si="43"/>
        <v>Normal</v>
      </c>
    </row>
    <row r="1380" spans="1:18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f t="shared" si="42"/>
        <v>1</v>
      </c>
      <c r="R1380" t="str">
        <f t="shared" si="43"/>
        <v>Outlier</v>
      </c>
    </row>
    <row r="1381" spans="1:18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>
        <f t="shared" si="42"/>
        <v>1</v>
      </c>
      <c r="R1381" t="str">
        <f t="shared" si="43"/>
        <v>Normal</v>
      </c>
    </row>
    <row r="1382" spans="1:18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>
        <f t="shared" si="42"/>
        <v>1</v>
      </c>
      <c r="R1382" t="str">
        <f t="shared" si="43"/>
        <v>Normal</v>
      </c>
    </row>
    <row r="1383" spans="1:18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>
        <f t="shared" si="42"/>
        <v>1</v>
      </c>
      <c r="R1383" t="str">
        <f t="shared" si="43"/>
        <v>Normal</v>
      </c>
    </row>
    <row r="1384" spans="1:18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>
        <f t="shared" si="42"/>
        <v>1</v>
      </c>
      <c r="R1384" t="str">
        <f t="shared" si="43"/>
        <v>Normal</v>
      </c>
    </row>
    <row r="1385" spans="1:18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>
        <f t="shared" si="42"/>
        <v>1</v>
      </c>
      <c r="R1385" t="str">
        <f t="shared" si="43"/>
        <v>Normal</v>
      </c>
    </row>
    <row r="1386" spans="1:18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>
        <f t="shared" si="42"/>
        <v>1</v>
      </c>
      <c r="R1386" t="str">
        <f t="shared" si="43"/>
        <v>Normal</v>
      </c>
    </row>
    <row r="1387" spans="1:18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>
        <f t="shared" si="42"/>
        <v>1</v>
      </c>
      <c r="R1387" t="str">
        <f t="shared" si="43"/>
        <v>Normal</v>
      </c>
    </row>
    <row r="1388" spans="1:18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>
        <f t="shared" si="42"/>
        <v>1</v>
      </c>
      <c r="R1388" t="str">
        <f t="shared" si="43"/>
        <v>Normal</v>
      </c>
    </row>
    <row r="1389" spans="1:18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>
        <f t="shared" si="42"/>
        <v>1</v>
      </c>
      <c r="R1389" t="str">
        <f t="shared" si="43"/>
        <v>Normal</v>
      </c>
    </row>
    <row r="1390" spans="1:18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>
        <f t="shared" si="42"/>
        <v>1</v>
      </c>
      <c r="R1390" t="str">
        <f t="shared" si="43"/>
        <v>Normal</v>
      </c>
    </row>
    <row r="1391" spans="1:18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>
        <f t="shared" si="42"/>
        <v>1</v>
      </c>
      <c r="R1391" t="str">
        <f t="shared" si="43"/>
        <v>Normal</v>
      </c>
    </row>
    <row r="1392" spans="1:18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>
        <f t="shared" si="42"/>
        <v>1</v>
      </c>
      <c r="R1392" t="str">
        <f t="shared" si="43"/>
        <v>Normal</v>
      </c>
    </row>
    <row r="1393" spans="1:18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>
        <f t="shared" si="42"/>
        <v>1</v>
      </c>
      <c r="R1393" t="str">
        <f t="shared" si="43"/>
        <v>Normal</v>
      </c>
    </row>
    <row r="1394" spans="1:18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>
        <f t="shared" si="42"/>
        <v>1</v>
      </c>
      <c r="R1394" t="str">
        <f t="shared" si="43"/>
        <v>Normal</v>
      </c>
    </row>
    <row r="1395" spans="1:18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>
        <f t="shared" si="42"/>
        <v>1</v>
      </c>
      <c r="R1395" t="str">
        <f t="shared" si="43"/>
        <v>Normal</v>
      </c>
    </row>
    <row r="1396" spans="1:18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>
        <f t="shared" si="42"/>
        <v>1</v>
      </c>
      <c r="R1396" t="str">
        <f t="shared" si="43"/>
        <v>Normal</v>
      </c>
    </row>
    <row r="1397" spans="1:18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1479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f t="shared" si="42"/>
        <v>1</v>
      </c>
      <c r="R1397" t="str">
        <f t="shared" si="43"/>
        <v>Outlier</v>
      </c>
    </row>
    <row r="1398" spans="1:18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>
        <f t="shared" si="42"/>
        <v>1</v>
      </c>
      <c r="R1398" t="str">
        <f t="shared" si="43"/>
        <v>Normal</v>
      </c>
    </row>
    <row r="1399" spans="1:18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>
        <f t="shared" si="42"/>
        <v>1</v>
      </c>
      <c r="R1399" t="str">
        <f t="shared" si="43"/>
        <v>Normal</v>
      </c>
    </row>
    <row r="1400" spans="1:18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>
        <f t="shared" si="42"/>
        <v>1</v>
      </c>
      <c r="R1400" t="str">
        <f t="shared" si="43"/>
        <v>Normal</v>
      </c>
    </row>
    <row r="1401" spans="1:18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>
        <f t="shared" si="42"/>
        <v>1</v>
      </c>
      <c r="R1401" t="str">
        <f t="shared" si="43"/>
        <v>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DFD3-09F5-4ACB-8DAA-6F174F83EAA7}">
  <dimension ref="A1:N27"/>
  <sheetViews>
    <sheetView workbookViewId="0">
      <selection activeCell="E25" sqref="E25"/>
    </sheetView>
  </sheetViews>
  <sheetFormatPr defaultRowHeight="13.8"/>
  <cols>
    <col min="1" max="1" width="24.8984375" customWidth="1"/>
    <col min="2" max="2" width="16" customWidth="1"/>
    <col min="3" max="3" width="13.5" customWidth="1"/>
    <col min="5" max="5" width="15.3984375" bestFit="1" customWidth="1"/>
    <col min="6" max="6" width="16.09765625" bestFit="1" customWidth="1"/>
    <col min="7" max="7" width="9.8984375" bestFit="1" customWidth="1"/>
    <col min="8" max="9" width="11" bestFit="1" customWidth="1"/>
    <col min="11" max="11" width="15.3984375" bestFit="1" customWidth="1"/>
    <col min="12" max="12" width="16.09765625" bestFit="1" customWidth="1"/>
    <col min="13" max="13" width="9.8984375" bestFit="1" customWidth="1"/>
    <col min="14" max="15" width="11" bestFit="1" customWidth="1"/>
  </cols>
  <sheetData>
    <row r="1" spans="1:14">
      <c r="E1" s="11" t="s">
        <v>1471</v>
      </c>
      <c r="F1" s="11"/>
      <c r="K1" s="10" t="s">
        <v>1478</v>
      </c>
      <c r="L1" s="10"/>
      <c r="M1" s="10"/>
      <c r="N1" s="10"/>
    </row>
    <row r="2" spans="1:14">
      <c r="A2" s="12" t="s">
        <v>1451</v>
      </c>
      <c r="B2" s="12"/>
      <c r="E2" s="10" t="s">
        <v>1476</v>
      </c>
      <c r="F2" s="10"/>
      <c r="G2" s="10"/>
      <c r="H2" s="10"/>
      <c r="K2" s="6" t="s">
        <v>1475</v>
      </c>
      <c r="L2" s="6" t="s">
        <v>1474</v>
      </c>
    </row>
    <row r="3" spans="1:14">
      <c r="A3" s="5" t="s">
        <v>1452</v>
      </c>
      <c r="B3" s="5" t="s">
        <v>1453</v>
      </c>
      <c r="C3" s="5" t="s">
        <v>1480</v>
      </c>
      <c r="E3" s="6" t="s">
        <v>1475</v>
      </c>
      <c r="F3" s="6" t="s">
        <v>1474</v>
      </c>
      <c r="K3" s="6" t="s">
        <v>1472</v>
      </c>
      <c r="L3" t="s">
        <v>17</v>
      </c>
      <c r="M3" t="s">
        <v>723</v>
      </c>
      <c r="N3" t="s">
        <v>1473</v>
      </c>
    </row>
    <row r="4" spans="1:14">
      <c r="A4" s="4" t="s">
        <v>4</v>
      </c>
      <c r="B4" s="4">
        <f>COUNTBLANK(experiment_data!E2:E1409)</f>
        <v>8</v>
      </c>
      <c r="C4" s="4" t="s">
        <v>1481</v>
      </c>
      <c r="E4" s="6" t="s">
        <v>1472</v>
      </c>
      <c r="F4" t="s">
        <v>17</v>
      </c>
      <c r="G4" t="s">
        <v>723</v>
      </c>
      <c r="H4" t="s">
        <v>1473</v>
      </c>
      <c r="K4" s="7" t="s">
        <v>20</v>
      </c>
      <c r="L4">
        <v>73</v>
      </c>
      <c r="M4">
        <v>56</v>
      </c>
      <c r="N4">
        <v>129</v>
      </c>
    </row>
    <row r="5" spans="1:14">
      <c r="A5" s="4" t="s">
        <v>5</v>
      </c>
      <c r="B5" s="4">
        <f>COUNTBLANK(experiment_data!F2:F1409)</f>
        <v>8</v>
      </c>
      <c r="C5" s="4" t="s">
        <v>1481</v>
      </c>
      <c r="E5" s="7" t="s">
        <v>28</v>
      </c>
      <c r="F5">
        <v>157</v>
      </c>
      <c r="G5">
        <v>170</v>
      </c>
      <c r="H5">
        <v>327</v>
      </c>
      <c r="K5" s="7" t="s">
        <v>25</v>
      </c>
      <c r="L5">
        <v>246</v>
      </c>
      <c r="M5">
        <v>237</v>
      </c>
      <c r="N5">
        <v>483</v>
      </c>
    </row>
    <row r="6" spans="1:14">
      <c r="A6" s="4" t="s">
        <v>15</v>
      </c>
      <c r="B6" s="4">
        <f>COUNTBLANK(experiment_data!P2:P1409)</f>
        <v>22</v>
      </c>
      <c r="C6" s="4" t="s">
        <v>1481</v>
      </c>
      <c r="E6" s="7" t="s">
        <v>18</v>
      </c>
      <c r="F6">
        <v>201</v>
      </c>
      <c r="G6">
        <v>180</v>
      </c>
      <c r="H6">
        <v>381</v>
      </c>
      <c r="K6" s="7" t="s">
        <v>29</v>
      </c>
      <c r="L6">
        <v>155</v>
      </c>
      <c r="M6">
        <v>176</v>
      </c>
      <c r="N6">
        <v>331</v>
      </c>
    </row>
    <row r="7" spans="1:14">
      <c r="E7" s="7" t="s">
        <v>32</v>
      </c>
      <c r="F7">
        <v>184</v>
      </c>
      <c r="G7">
        <v>183</v>
      </c>
      <c r="H7">
        <v>367</v>
      </c>
      <c r="K7" s="7" t="s">
        <v>39</v>
      </c>
      <c r="L7">
        <v>81</v>
      </c>
      <c r="M7">
        <v>91</v>
      </c>
      <c r="N7">
        <v>172</v>
      </c>
    </row>
    <row r="8" spans="1:14">
      <c r="E8" s="7" t="s">
        <v>23</v>
      </c>
      <c r="F8">
        <v>148</v>
      </c>
      <c r="G8">
        <v>177</v>
      </c>
      <c r="H8">
        <v>325</v>
      </c>
      <c r="K8" s="7" t="s">
        <v>41</v>
      </c>
      <c r="L8">
        <v>129</v>
      </c>
      <c r="M8">
        <v>132</v>
      </c>
      <c r="N8">
        <v>261</v>
      </c>
    </row>
    <row r="9" spans="1:14">
      <c r="A9" s="12" t="s">
        <v>1454</v>
      </c>
      <c r="B9" s="12"/>
      <c r="E9" s="7" t="s">
        <v>1473</v>
      </c>
      <c r="F9">
        <v>690</v>
      </c>
      <c r="G9">
        <v>710</v>
      </c>
      <c r="H9">
        <v>1400</v>
      </c>
      <c r="K9" s="7" t="s">
        <v>1479</v>
      </c>
      <c r="L9">
        <v>6</v>
      </c>
      <c r="M9">
        <v>18</v>
      </c>
      <c r="N9">
        <v>24</v>
      </c>
    </row>
    <row r="10" spans="1:14">
      <c r="A10" s="4" t="s">
        <v>1455</v>
      </c>
      <c r="B10" s="4">
        <f>COUNTIF(experiment_data!C2:C1409, "Control")</f>
        <v>690</v>
      </c>
      <c r="C10" s="9" t="s">
        <v>1482</v>
      </c>
      <c r="K10" s="7" t="s">
        <v>1473</v>
      </c>
      <c r="L10">
        <v>690</v>
      </c>
      <c r="M10">
        <v>710</v>
      </c>
      <c r="N10">
        <v>1400</v>
      </c>
    </row>
    <row r="11" spans="1:14">
      <c r="A11" s="4" t="s">
        <v>1456</v>
      </c>
      <c r="B11" s="8">
        <f>COUNTIF(experiment_data!C2:C1409,"Treatment")</f>
        <v>710</v>
      </c>
      <c r="C11" s="4" t="s">
        <v>1482</v>
      </c>
    </row>
    <row r="12" spans="1:14">
      <c r="E12" s="10" t="s">
        <v>1477</v>
      </c>
      <c r="F12" s="10"/>
      <c r="G12" s="10"/>
      <c r="H12" s="10"/>
    </row>
    <row r="13" spans="1:14">
      <c r="E13" s="6" t="s">
        <v>1475</v>
      </c>
      <c r="F13" s="6" t="s">
        <v>1474</v>
      </c>
    </row>
    <row r="14" spans="1:14">
      <c r="A14" s="10" t="s">
        <v>1457</v>
      </c>
      <c r="B14" s="10"/>
      <c r="E14" s="6" t="s">
        <v>1472</v>
      </c>
      <c r="F14" t="s">
        <v>17</v>
      </c>
      <c r="G14" t="s">
        <v>723</v>
      </c>
      <c r="H14" t="s">
        <v>1473</v>
      </c>
    </row>
    <row r="15" spans="1:14">
      <c r="A15" s="4" t="s">
        <v>1461</v>
      </c>
      <c r="B15" s="4">
        <v>8</v>
      </c>
      <c r="C15" t="s">
        <v>1483</v>
      </c>
      <c r="E15" s="7" t="s">
        <v>19</v>
      </c>
      <c r="F15">
        <v>200</v>
      </c>
      <c r="G15">
        <v>213</v>
      </c>
      <c r="H15">
        <v>413</v>
      </c>
    </row>
    <row r="16" spans="1:14">
      <c r="E16" s="7" t="s">
        <v>24</v>
      </c>
      <c r="F16">
        <v>426</v>
      </c>
      <c r="G16">
        <v>432</v>
      </c>
      <c r="H16">
        <v>858</v>
      </c>
    </row>
    <row r="17" spans="1:8">
      <c r="A17" s="10" t="s">
        <v>1459</v>
      </c>
      <c r="B17" s="10"/>
      <c r="E17" s="7" t="s">
        <v>34</v>
      </c>
      <c r="F17">
        <v>55</v>
      </c>
      <c r="G17">
        <v>56</v>
      </c>
      <c r="H17">
        <v>111</v>
      </c>
    </row>
    <row r="18" spans="1:8">
      <c r="A18" s="5" t="s">
        <v>1452</v>
      </c>
      <c r="B18" s="5" t="s">
        <v>1460</v>
      </c>
      <c r="E18" s="7" t="s">
        <v>1479</v>
      </c>
      <c r="F18">
        <v>9</v>
      </c>
      <c r="G18">
        <v>9</v>
      </c>
      <c r="H18">
        <v>18</v>
      </c>
    </row>
    <row r="19" spans="1:8">
      <c r="A19" s="4" t="s">
        <v>7</v>
      </c>
      <c r="B19" s="4">
        <f>COUNTIFS(experiment_data!H2:H1401,"&lt;&gt;0",experiment_data!H2:H1401,"&lt;&gt;1")</f>
        <v>0</v>
      </c>
      <c r="C19" s="4" t="s">
        <v>1482</v>
      </c>
      <c r="E19" s="7" t="s">
        <v>1473</v>
      </c>
      <c r="F19">
        <v>690</v>
      </c>
      <c r="G19">
        <v>710</v>
      </c>
      <c r="H19">
        <v>1400</v>
      </c>
    </row>
    <row r="20" spans="1:8">
      <c r="A20" s="4" t="s">
        <v>8</v>
      </c>
      <c r="B20" s="4">
        <f>COUNTIFS(experiment_data!I2:I1401,"&lt;&gt;0",experiment_data!I2:I1401,"&lt;&gt;1")</f>
        <v>0</v>
      </c>
      <c r="C20" s="4" t="s">
        <v>1482</v>
      </c>
    </row>
    <row r="21" spans="1:8">
      <c r="A21" s="4" t="s">
        <v>9</v>
      </c>
      <c r="B21" s="4">
        <f>COUNTIFS(experiment_data!J2:J1401,"&lt;&gt;0",experiment_data!J2:J1401,"&lt;&gt;1")</f>
        <v>0</v>
      </c>
      <c r="C21" s="4" t="s">
        <v>1482</v>
      </c>
    </row>
    <row r="22" spans="1:8">
      <c r="A22" s="4" t="s">
        <v>10</v>
      </c>
      <c r="B22" s="4">
        <f>COUNTIFS(experiment_data!K2:K1401,"&lt;&gt;0",experiment_data!K2:K1401,"&lt;&gt;1")</f>
        <v>0</v>
      </c>
      <c r="C22" s="4" t="s">
        <v>1482</v>
      </c>
    </row>
    <row r="23" spans="1:8">
      <c r="A23" s="4" t="s">
        <v>13</v>
      </c>
      <c r="B23" s="4">
        <f>COUNTIFS(experiment_data!N2:N1401,"&lt;&gt;0",experiment_data!N2:N1401,"&lt;&gt;1")</f>
        <v>0</v>
      </c>
      <c r="C23" s="4" t="s">
        <v>1482</v>
      </c>
    </row>
    <row r="26" spans="1:8">
      <c r="A26" s="10" t="s">
        <v>1462</v>
      </c>
      <c r="B26" s="10"/>
    </row>
    <row r="27" spans="1:8">
      <c r="A27" s="4" t="s">
        <v>1470</v>
      </c>
      <c r="B27" s="4">
        <f>COUNTIF(experiment_data!R2:R1401,"Outlier")</f>
        <v>72</v>
      </c>
      <c r="C27" s="4" t="s">
        <v>1484</v>
      </c>
    </row>
  </sheetData>
  <mergeCells count="9">
    <mergeCell ref="K1:N1"/>
    <mergeCell ref="A9:B9"/>
    <mergeCell ref="A2:B2"/>
    <mergeCell ref="A14:B14"/>
    <mergeCell ref="A17:B17"/>
    <mergeCell ref="E1:F1"/>
    <mergeCell ref="A26:B26"/>
    <mergeCell ref="E2:H2"/>
    <mergeCell ref="E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E185-D4C0-4852-9C15-0C9C9653DB30}">
  <dimension ref="A1:E18"/>
  <sheetViews>
    <sheetView workbookViewId="0">
      <selection activeCell="B3" sqref="B3"/>
    </sheetView>
  </sheetViews>
  <sheetFormatPr defaultRowHeight="13.8"/>
  <cols>
    <col min="1" max="1" width="32.59765625" customWidth="1"/>
    <col min="2" max="2" width="15.296875" customWidth="1"/>
    <col min="3" max="3" width="16.5" customWidth="1"/>
    <col min="4" max="4" width="17.8984375" customWidth="1"/>
    <col min="5" max="5" width="20.8984375" customWidth="1"/>
  </cols>
  <sheetData>
    <row r="1" spans="1:5">
      <c r="A1" s="20" t="s">
        <v>1494</v>
      </c>
      <c r="B1" s="20"/>
      <c r="C1" s="20"/>
    </row>
    <row r="2" spans="1:5">
      <c r="A2" s="13" t="s">
        <v>1485</v>
      </c>
      <c r="B2" s="13" t="s">
        <v>17</v>
      </c>
      <c r="C2" s="13" t="s">
        <v>723</v>
      </c>
    </row>
    <row r="3" spans="1:5" ht="27.6">
      <c r="A3" s="14" t="s">
        <v>1486</v>
      </c>
      <c r="B3" s="14">
        <f>COUNTIF(experiment_data!C:C,"Control")</f>
        <v>690</v>
      </c>
      <c r="C3" s="14">
        <f>COUNTIF(experiment_data!C:C,"Treatment")</f>
        <v>710</v>
      </c>
    </row>
    <row r="4" spans="1:5">
      <c r="A4" s="14" t="s">
        <v>1487</v>
      </c>
      <c r="B4" s="14">
        <f>COUNTIFS(experiment_data!C:C,"Control",experiment_data!K:K,1)</f>
        <v>22</v>
      </c>
      <c r="C4" s="14">
        <f>COUNTIFS(experiment_data!C:C,"Treatment",experiment_data!K:K,1)</f>
        <v>50</v>
      </c>
    </row>
    <row r="5" spans="1:5">
      <c r="A5" s="14" t="s">
        <v>1488</v>
      </c>
      <c r="B5" s="15">
        <f>B4/B3</f>
        <v>3.1884057971014491E-2</v>
      </c>
      <c r="C5" s="15">
        <f>C4/C3</f>
        <v>7.0422535211267609E-2</v>
      </c>
    </row>
    <row r="8" spans="1:5">
      <c r="A8" s="5" t="s">
        <v>1493</v>
      </c>
      <c r="B8" s="4">
        <f>(B4+C4)/(B3+C3)</f>
        <v>5.1428571428571428E-2</v>
      </c>
    </row>
    <row r="10" spans="1:5">
      <c r="A10" s="21" t="s">
        <v>1489</v>
      </c>
      <c r="B10" s="21"/>
      <c r="D10" s="21" t="s">
        <v>1495</v>
      </c>
      <c r="E10" s="21"/>
    </row>
    <row r="11" spans="1:5">
      <c r="A11" s="5" t="s">
        <v>1490</v>
      </c>
      <c r="B11" s="5" t="s">
        <v>1491</v>
      </c>
      <c r="D11" s="4" t="s">
        <v>1490</v>
      </c>
      <c r="E11" s="4" t="s">
        <v>1491</v>
      </c>
    </row>
    <row r="12" spans="1:5" ht="55.2">
      <c r="A12" s="16" t="s">
        <v>1492</v>
      </c>
      <c r="B12" s="4">
        <f>SQRT(B8*(1-B8)*
((1/B3)+(1/C3))
)</f>
        <v>1.1807217085124241E-2</v>
      </c>
      <c r="D12" s="17" t="s">
        <v>1496</v>
      </c>
      <c r="E12" s="4">
        <f>(C5-B5)/B12</f>
        <v>3.263976342808776</v>
      </c>
    </row>
    <row r="15" spans="1:5">
      <c r="A15" s="21" t="s">
        <v>1497</v>
      </c>
      <c r="B15" s="21"/>
      <c r="D15" s="22" t="s">
        <v>1499</v>
      </c>
      <c r="E15" s="22"/>
    </row>
    <row r="16" spans="1:5">
      <c r="A16" s="5" t="s">
        <v>1490</v>
      </c>
      <c r="B16" s="5" t="s">
        <v>1491</v>
      </c>
      <c r="D16" s="4" t="s">
        <v>1500</v>
      </c>
      <c r="E16" s="4">
        <v>0.05</v>
      </c>
    </row>
    <row r="17" spans="1:5" ht="41.4">
      <c r="A17" s="17" t="s">
        <v>1498</v>
      </c>
      <c r="B17" s="4">
        <f>1-_xlfn.NORM.S.DIST(E12,TRUE)</f>
        <v>5.4930169094646875E-4</v>
      </c>
      <c r="D17" s="4" t="s">
        <v>1490</v>
      </c>
      <c r="E17" s="17" t="s">
        <v>1502</v>
      </c>
    </row>
    <row r="18" spans="1:5">
      <c r="D18" s="18" t="s">
        <v>1501</v>
      </c>
      <c r="E18" s="19" t="str">
        <f>IF(B17&lt;0.05,"Reject H0","Fail to Reject H0")</f>
        <v>Reject H0</v>
      </c>
    </row>
  </sheetData>
  <mergeCells count="5">
    <mergeCell ref="A1:C1"/>
    <mergeCell ref="A10:B10"/>
    <mergeCell ref="D10:E10"/>
    <mergeCell ref="A15:B15"/>
    <mergeCell ref="D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F9A8-A432-4FAD-98EF-9037D9006244}">
  <dimension ref="A2:C7"/>
  <sheetViews>
    <sheetView workbookViewId="0">
      <selection activeCell="F11" sqref="F11"/>
    </sheetView>
  </sheetViews>
  <sheetFormatPr defaultRowHeight="13.8"/>
  <cols>
    <col min="1" max="1" width="17.296875" customWidth="1"/>
    <col min="2" max="2" width="25.59765625" customWidth="1"/>
    <col min="3" max="3" width="23.59765625" customWidth="1"/>
  </cols>
  <sheetData>
    <row r="2" spans="1:3">
      <c r="B2" t="s">
        <v>17</v>
      </c>
      <c r="C2" t="s">
        <v>723</v>
      </c>
    </row>
    <row r="3" spans="1:3">
      <c r="A3" t="s">
        <v>1503</v>
      </c>
      <c r="B3">
        <f>COUNTIFS(experiment_data!C:C,"Control",experiment_data!N:N,1)/COUNTIF(experiment_data!C:C,"Control")</f>
        <v>0</v>
      </c>
      <c r="C3">
        <f>COUNTIFS(experiment_data!C:C,"Treatment",experiment_data!N:N,1)/COUNTIF(experiment_data!C:C,"Treatment")</f>
        <v>4.2253521126760559E-3</v>
      </c>
    </row>
    <row r="4" spans="1:3">
      <c r="A4" t="s">
        <v>1504</v>
      </c>
      <c r="B4">
        <f>COUNTIFS(experiment_data!C:C,"Control",experiment_data!M:M,1)/COUNTIF(experiment_data!C:C,"Control")</f>
        <v>9.2753623188405798E-2</v>
      </c>
      <c r="C4">
        <f>COUNTIFS(experiment_data!C:C,"Treatment",experiment_data!M:M,1)/COUNTIF(experiment_data!C:C,"Treatment")</f>
        <v>0.16056338028169015</v>
      </c>
    </row>
    <row r="5" spans="1:3" ht="27.6">
      <c r="A5" s="3" t="s">
        <v>1505</v>
      </c>
      <c r="B5">
        <f>AVERAGEIFS(experiment_data!O:O,experiment_data!C:C,"Control",experiment_data!K:K,1)</f>
        <v>8.8636363636363633</v>
      </c>
      <c r="C5">
        <f>AVERAGEIFS(experiment_data!O:O,experiment_data!C:C,"Treatment",experiment_data!K:K,1)</f>
        <v>6.4</v>
      </c>
    </row>
    <row r="6" spans="1:3" ht="27.6">
      <c r="A6" s="3" t="s">
        <v>1506</v>
      </c>
      <c r="B6">
        <f>AVERAGEIFS(experiment_data!P:P,experiment_data!C:C,"Control")</f>
        <v>57.029532163742729</v>
      </c>
      <c r="C6">
        <f>AVERAGEIFS(experiment_data!P:P,experiment_data!C:C,"Treatment")</f>
        <v>62.940028490028489</v>
      </c>
    </row>
    <row r="7" spans="1:3">
      <c r="A7" t="s">
        <v>1507</v>
      </c>
      <c r="B7">
        <f>SUMIFS(experiment_data!L:L,experiment_data!C:C,"Control")/COUNTIF(experiment_data!C:C,"Control")</f>
        <v>51.974318840579706</v>
      </c>
      <c r="C7">
        <f>SUMIFS(experiment_data!L:L,experiment_data!C:C,"Treatment")/COUNTIF(experiment_data!C:C,"Treatment")</f>
        <v>54.254521126760551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experiment_data</vt:lpstr>
      <vt:lpstr>Data_Cleaning_Summary</vt:lpstr>
      <vt:lpstr>Hypothesis_Test</vt:lpstr>
      <vt:lpstr>GuardRail Metric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Alibha Das</cp:lastModifiedBy>
  <dcterms:modified xsi:type="dcterms:W3CDTF">2026-06-20T18:12:20Z</dcterms:modified>
</cp:coreProperties>
</file>